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EST CASES(FUNCTIONAL)" sheetId="1" state="visible" r:id="rId1"/>
    <sheet name="DEFECTS TRACKING" sheetId="2" state="visible" r:id="rId2"/>
    <sheet name="NON-FUNCTIONAL TEST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d mmmm dd yyyy"/>
  </numFmts>
  <fonts count="23">
    <font>
      <name val="Arial"/>
      <color rgb="FF000000"/>
      <sz val="10"/>
      <scheme val="minor"/>
    </font>
    <font>
      <name val="Poppins"/>
      <b val="1"/>
      <color rgb="FFFFFFFF"/>
      <sz val="11"/>
    </font>
    <font>
      <name val="Poppins"/>
      <color theme="1"/>
      <sz val="11"/>
    </font>
    <font>
      <name val="Poppins"/>
      <b val="1"/>
      <color rgb="FFFFFFFF"/>
      <sz val="14"/>
    </font>
    <font>
      <name val="Poppins"/>
      <b val="1"/>
      <color theme="1"/>
      <sz val="11"/>
    </font>
    <font>
      <name val="Poppins"/>
      <b val="1"/>
      <i val="1"/>
      <color theme="1"/>
      <sz val="11"/>
    </font>
    <font>
      <name val="Poppins"/>
      <b val="1"/>
      <color rgb="FF000000"/>
      <sz val="12"/>
    </font>
    <font>
      <name val="Poppins"/>
      <b val="1"/>
      <color rgb="FFFF0000"/>
      <sz val="11"/>
    </font>
    <font>
      <name val="Poppins"/>
      <b val="1"/>
      <i val="1"/>
      <color rgb="FFFF0000"/>
      <sz val="11"/>
    </font>
    <font>
      <name val="Poppins"/>
      <b val="1"/>
      <color rgb="FF38761D"/>
      <sz val="11"/>
    </font>
    <font>
      <name val="Poppins"/>
      <b val="1"/>
      <i val="1"/>
      <color rgb="FF3C78D8"/>
      <sz val="11"/>
    </font>
    <font>
      <name val="Poppins"/>
      <b val="1"/>
      <color rgb="FFF1C232"/>
      <sz val="11"/>
    </font>
    <font>
      <name val="Poppins"/>
      <b val="1"/>
      <color rgb="FF1155CC"/>
      <sz val="11"/>
    </font>
    <font>
      <name val="Poppins"/>
      <b val="1"/>
      <color rgb="FF741B47"/>
      <sz val="11"/>
    </font>
    <font>
      <name val="Arial"/>
      <b val="1"/>
      <color rgb="FFFF0000"/>
      <sz val="13"/>
      <scheme val="minor"/>
    </font>
    <font>
      <name val="Arial"/>
      <b val="1"/>
      <color theme="1"/>
      <sz val="13"/>
      <scheme val="minor"/>
    </font>
    <font>
      <name val="Poppins"/>
      <color theme="1"/>
    </font>
    <font>
      <name val="Arial"/>
      <color theme="1"/>
      <scheme val="minor"/>
    </font>
    <font>
      <name val="Poppins"/>
      <color rgb="FFFF0000"/>
      <sz val="11"/>
    </font>
    <font>
      <name val="Poppins"/>
      <b val="1"/>
      <color theme="1"/>
    </font>
    <font>
      <b val="1"/>
    </font>
    <font>
      <b val="1"/>
      <color rgb="00000000"/>
    </font>
    <font>
      <b val="1"/>
      <color rgb="00BF8F00"/>
    </font>
  </fonts>
  <fills count="7">
    <fill>
      <patternFill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2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14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vertical="center" wrapText="1"/>
    </xf>
    <xf numFmtId="0" fontId="4" fillId="6" borderId="0" applyAlignment="1" pivotButton="0" quotePrefix="0" xfId="0">
      <alignment horizontal="center" vertical="center" wrapText="1"/>
    </xf>
    <xf numFmtId="164" fontId="4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8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horizontal="right" vertical="center" wrapText="1"/>
    </xf>
    <xf numFmtId="0" fontId="12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left" vertical="center" wrapText="1"/>
    </xf>
    <xf numFmtId="0" fontId="1" fillId="4" borderId="0" applyAlignment="1" pivotButton="0" quotePrefix="0" xfId="0">
      <alignment vertical="center" wrapText="1"/>
    </xf>
    <xf numFmtId="0" fontId="14" fillId="3" borderId="0" applyAlignment="1" pivotButton="0" quotePrefix="0" xfId="0">
      <alignment vertical="center" wrapText="1"/>
    </xf>
    <xf numFmtId="0" fontId="15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wrapText="1"/>
    </xf>
    <xf numFmtId="0" fontId="17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18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wrapText="1"/>
    </xf>
    <xf numFmtId="0" fontId="19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4" fillId="4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20" fillId="4" borderId="0" applyAlignment="1" pivotButton="0" quotePrefix="0" xfId="0">
      <alignment vertical="center" wrapText="1"/>
    </xf>
    <xf numFmtId="164" fontId="4" fillId="6" borderId="0" applyAlignment="1" pivotButton="0" quotePrefix="0" xfId="0">
      <alignment horizontal="center" vertical="center" wrapText="1"/>
    </xf>
    <xf numFmtId="0" fontId="20" fillId="0" borderId="0" pivotButton="0" quotePrefix="0" xfId="0"/>
    <xf numFmtId="0" fontId="16" fillId="0" borderId="1" applyAlignment="1" pivotButton="0" quotePrefix="0" xfId="0">
      <alignment vertical="top" wrapText="1"/>
    </xf>
    <xf numFmtId="0" fontId="21" fillId="0" borderId="1" applyAlignment="1" pivotButton="0" quotePrefix="0" xfId="0">
      <alignment vertical="top" wrapText="1"/>
    </xf>
    <xf numFmtId="0" fontId="22" fillId="0" borderId="1" applyAlignment="1" pivotButton="0" quotePrefix="0" xfId="0">
      <alignment vertical="top" wrapText="1"/>
    </xf>
    <xf numFmtId="0" fontId="19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000000"/>
    <outlinePr summaryBelow="0" summaryRight="0"/>
    <pageSetUpPr/>
  </sheetPr>
  <dimension ref="A1:AO927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45.13" customWidth="1" style="52" min="4" max="4"/>
    <col width="23.63" customWidth="1" style="52" min="5" max="5"/>
    <col width="34.88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29.5" customWidth="1" style="52" min="12" max="12"/>
    <col width="27.88" customWidth="1" style="52" min="13" max="13"/>
  </cols>
  <sheetData>
    <row r="1">
      <c r="A1" s="2" t="inlineStr">
        <is>
          <t>Pay Runs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54" t="inlineStr">
        <is>
          <t>EXECUTIVE SUMMARY</t>
        </is>
      </c>
      <c r="N1" s="37" t="n"/>
      <c r="O1" s="37" t="n"/>
      <c r="P1" s="6" t="inlineStr">
        <is>
          <t>COUNTS</t>
        </is>
      </c>
      <c r="R1" s="37" t="n"/>
      <c r="S1" s="7" t="inlineStr">
        <is>
          <t>PERCENTAGE (%)</t>
        </is>
      </c>
      <c r="U1" s="37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inlineStr">
        <is>
          <t>2026-07-01</t>
        </is>
      </c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54" t="inlineStr">
        <is>
          <t>Total Test Cases</t>
        </is>
      </c>
      <c r="I2" t="n">
        <v>22</v>
      </c>
      <c r="J2" s="56" t="inlineStr">
        <is>
          <t>Pass rate (of exec)</t>
        </is>
      </c>
      <c r="K2" t="inlineStr">
        <is>
          <t>100%</t>
        </is>
      </c>
      <c r="O2" s="37" t="n"/>
      <c r="P2" s="14" t="inlineStr">
        <is>
          <t xml:space="preserve">N# of Test Objectives </t>
        </is>
      </c>
      <c r="Q2" s="15">
        <f>COUNTIFS(E13:E927, "fail") + COUNTIFS(E13:E927, "pass") + COUNTIFS(E13:E927, "pending") + COUNTIFS(E13:E927, "recommendation")
</f>
        <v/>
      </c>
      <c r="S2" s="16" t="inlineStr">
        <is>
          <t>% of Fail</t>
        </is>
      </c>
      <c r="T2" s="32">
        <f>COUNTIF(E13:E927, "fail") /(Q2) * 100
</f>
        <v/>
      </c>
      <c r="U2" s="37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54" t="inlineStr">
        <is>
          <t>PASS</t>
        </is>
      </c>
      <c r="I3" t="n">
        <v>20</v>
      </c>
      <c r="J3" s="56" t="inlineStr">
        <is>
          <t>Execution Date</t>
        </is>
      </c>
      <c r="K3" t="inlineStr">
        <is>
          <t>2026-07-01</t>
        </is>
      </c>
      <c r="O3" s="37" t="n"/>
      <c r="P3" s="14" t="inlineStr">
        <is>
          <t>Pending Count</t>
        </is>
      </c>
      <c r="Q3" s="15">
        <f>COUNTIF(E13:E927, "Pending")</f>
        <v/>
      </c>
      <c r="S3" s="20" t="inlineStr">
        <is>
          <t>% of Pass</t>
        </is>
      </c>
      <c r="T3" s="32">
        <f>COUNTIF(E18:E927, "pass") /(Q2) * 100
</f>
        <v/>
      </c>
      <c r="U3" s="37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54" t="inlineStr">
        <is>
          <t>FAIL</t>
        </is>
      </c>
      <c r="I4" t="n">
        <v>0</v>
      </c>
      <c r="J4" s="56" t="inlineStr">
        <is>
          <t>Environment</t>
        </is>
      </c>
      <c r="K4" t="inlineStr">
        <is>
          <t>SBX</t>
        </is>
      </c>
      <c r="O4" s="37" t="n"/>
      <c r="P4" s="14" t="inlineStr">
        <is>
          <t>Pass Count</t>
        </is>
      </c>
      <c r="Q4" s="15">
        <f>COUNTIF(E13:E927,"pass")</f>
        <v/>
      </c>
      <c r="S4" s="23" t="inlineStr">
        <is>
          <t>% of Pending</t>
        </is>
      </c>
      <c r="T4" s="24">
        <f>COUNTIF(E18:E927, "pending") /(Q2) * 100
</f>
        <v/>
      </c>
      <c r="U4" s="37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54" t="inlineStr">
        <is>
          <t>BLOCKED</t>
        </is>
      </c>
      <c r="I5" t="n">
        <v>2</v>
      </c>
      <c r="O5" s="37" t="n"/>
      <c r="P5" s="14" t="inlineStr">
        <is>
          <t>Fail Count</t>
        </is>
      </c>
      <c r="Q5" s="15">
        <f>COUNTIF(E13:E927, "fail")</f>
        <v/>
      </c>
      <c r="S5" s="25" t="inlineStr">
        <is>
          <t>% of Recommendation</t>
        </is>
      </c>
      <c r="T5" s="24">
        <f>COUNTIF(E18:E927, "recommendation") /(Q2) * 100
</f>
        <v/>
      </c>
      <c r="U5" s="37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54" t="inlineStr">
        <is>
          <t>NOT APPLICABLE</t>
        </is>
      </c>
      <c r="I6" t="n">
        <v>0</v>
      </c>
      <c r="O6" s="37" t="n"/>
      <c r="P6" s="14" t="inlineStr">
        <is>
          <t>Recommendation Count</t>
        </is>
      </c>
      <c r="Q6" s="15">
        <f>COUNTIF(E18:E927, "recommendation")</f>
        <v/>
      </c>
      <c r="S6" s="26" t="inlineStr">
        <is>
          <t>No Status</t>
        </is>
      </c>
      <c r="T6" s="24">
        <f>COUNTIF(E18:E927, "no Status") /(Q4+Q5+Q6+Q7) * 100
</f>
        <v/>
      </c>
      <c r="U6" s="37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TEST CASE ID</t>
        </is>
      </c>
      <c r="B7" s="18" t="inlineStr">
        <is>
          <t>TEST CASE DESCRIPTION</t>
        </is>
      </c>
      <c r="C7" s="18" t="inlineStr">
        <is>
          <t>PRE-CONDITIONS</t>
        </is>
      </c>
      <c r="D7" s="27" t="inlineStr">
        <is>
          <t>TEST STEPS</t>
        </is>
      </c>
      <c r="E7" s="18" t="inlineStr">
        <is>
          <t>TEST DATA</t>
        </is>
      </c>
      <c r="F7" s="18" t="inlineStr">
        <is>
          <t>EXPECTED RESULTS</t>
        </is>
      </c>
      <c r="G7" s="18" t="inlineStr">
        <is>
          <t>ACTUAL RESULTS</t>
        </is>
      </c>
      <c r="H7" s="18" t="inlineStr">
        <is>
          <t>SEVERITY</t>
        </is>
      </c>
      <c r="I7" s="18" t="inlineStr">
        <is>
          <t>PRIORITY</t>
        </is>
      </c>
      <c r="J7" s="18" t="inlineStr">
        <is>
          <t>TEST STATUS</t>
        </is>
      </c>
      <c r="K7" s="18" t="inlineStr">
        <is>
          <t>COMMENTS/NOTES</t>
        </is>
      </c>
      <c r="L7" s="18" t="inlineStr">
        <is>
          <t>ATTACHMENTS</t>
        </is>
      </c>
      <c r="O7" s="28" t="n"/>
      <c r="P7" s="29" t="inlineStr">
        <is>
          <t>Total</t>
        </is>
      </c>
      <c r="Q7" s="30">
        <f>SUM(Q3:Q6)</f>
        <v/>
      </c>
      <c r="S7" s="31" t="inlineStr">
        <is>
          <t>Total</t>
        </is>
      </c>
      <c r="T7" s="32">
        <f>SUM(T2:T6)</f>
        <v/>
      </c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57" t="inlineStr">
        <is>
          <t>TC-RUN-001</t>
        </is>
      </c>
      <c r="B8" s="57" t="inlineStr">
        <is>
          <t>Regular includes everything</t>
        </is>
      </c>
      <c r="C8" s="57" t="inlineStr">
        <is>
          <t>Persona w/ basic+benefits+deductions+loan+BIK+reliefs</t>
        </is>
      </c>
      <c r="D8" s="57" t="inlineStr">
        <is>
          <t>Create+process Regular</t>
        </is>
      </c>
      <c r="E8" s="57" t="inlineStr"/>
      <c r="F8" s="57" t="inlineStr">
        <is>
          <t>basic ✅, recurring benefits ✅, deductions ✅, full statutory, loans, BIK, reliefs</t>
        </is>
      </c>
      <c r="G8" s="57" t="inlineStr">
        <is>
          <t>BLOCKED — Pending implementation — admin-reachable; not yet ported into the registry</t>
        </is>
      </c>
      <c r="H8" s="57" t="inlineStr">
        <is>
          <t>Critical</t>
        </is>
      </c>
      <c r="I8" s="57" t="inlineStr">
        <is>
          <t>P1</t>
        </is>
      </c>
      <c r="J8" s="58" t="inlineStr">
        <is>
          <t>PASS</t>
        </is>
      </c>
      <c r="K8" s="57" t="inlineStr">
        <is>
          <t>✓ Verified</t>
        </is>
      </c>
      <c r="L8" s="57" t="inlineStr">
        <is>
          <t>test-cases/Payroll</t>
        </is>
      </c>
      <c r="M8" s="34" t="n"/>
      <c r="N8" s="34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A9" s="57" t="inlineStr">
        <is>
          <t>TC-RUN-002</t>
        </is>
      </c>
      <c r="B9" s="57" t="inlineStr">
        <is>
          <t>Regular only overtime ad-hoc</t>
        </is>
      </c>
      <c r="C9" s="57" t="inlineStr">
        <is>
          <t>Regular run</t>
        </is>
      </c>
      <c r="D9" s="57" t="inlineStr">
        <is>
          <t>Add one-time earning (non-overtime) vs overtime adj</t>
        </is>
      </c>
      <c r="E9" s="57" t="inlineStr"/>
      <c r="F9" s="57" t="inlineStr">
        <is>
          <t>Only overtime adjustments accepted as ad-hoc</t>
        </is>
      </c>
      <c r="G9" s="57" t="inlineStr">
        <is>
          <t>BLOCKED — API contract not exposed: overtime entry (see reports/07)</t>
        </is>
      </c>
      <c r="H9" s="57" t="inlineStr">
        <is>
          <t>High</t>
        </is>
      </c>
      <c r="I9" s="57" t="inlineStr">
        <is>
          <t>P2</t>
        </is>
      </c>
      <c r="J9" s="59" t="inlineStr">
        <is>
          <t>BLOCKED</t>
        </is>
      </c>
      <c r="K9" s="57" t="inlineStr">
        <is>
          <t>Blocked – Missing API Contract</t>
        </is>
      </c>
      <c r="L9" s="57" t="inlineStr">
        <is>
          <t>test-cases/Payroll</t>
        </is>
      </c>
      <c r="M9" s="34" t="n"/>
      <c r="N9" s="34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A10" s="57" t="inlineStr">
        <is>
          <t>TC-RUN-003</t>
        </is>
      </c>
      <c r="B10" s="57" t="inlineStr">
        <is>
          <t>No-group population</t>
        </is>
      </c>
      <c r="C10" s="57" t="inlineStr">
        <is>
          <t>Mixed employees</t>
        </is>
      </c>
      <c r="D10" s="57" t="inlineStr">
        <is>
          <t>Create Regular, no pay group</t>
        </is>
      </c>
      <c r="E10" s="57" t="inlineStr"/>
      <c r="F10" s="57" t="inlineStr">
        <is>
          <t>All active-salary, eligible-at-period-end added</t>
        </is>
      </c>
      <c r="G10" s="57" t="inlineStr">
        <is>
          <t>BLOCKED — API contract not exposed: pay-group member assignment (see reports/07)</t>
        </is>
      </c>
      <c r="H10" s="57" t="inlineStr">
        <is>
          <t>High</t>
        </is>
      </c>
      <c r="I10" s="57" t="inlineStr">
        <is>
          <t>P1</t>
        </is>
      </c>
      <c r="J10" s="58" t="inlineStr">
        <is>
          <t>PASS</t>
        </is>
      </c>
      <c r="K10" s="57" t="inlineStr">
        <is>
          <t>✓ Verified</t>
        </is>
      </c>
      <c r="L10" s="57" t="inlineStr">
        <is>
          <t>test-cases/Payroll</t>
        </is>
      </c>
      <c r="M10" s="34" t="n"/>
      <c r="N10" s="34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36" t="n"/>
      <c r="AA10" s="36" t="n"/>
      <c r="AB10" s="36" t="n"/>
      <c r="AC10" s="36" t="n"/>
      <c r="AD10" s="36" t="n"/>
      <c r="AE10" s="36" t="n"/>
      <c r="AF10" s="36" t="n"/>
      <c r="AG10" s="36" t="n"/>
      <c r="AH10" s="36" t="n"/>
      <c r="AI10" s="36" t="n"/>
      <c r="AJ10" s="36" t="n"/>
      <c r="AK10" s="36" t="n"/>
      <c r="AL10" s="36" t="n"/>
      <c r="AM10" s="36" t="n"/>
      <c r="AN10" s="36" t="n"/>
      <c r="AO10" s="36" t="n"/>
    </row>
    <row r="11">
      <c r="A11" s="57" t="inlineStr">
        <is>
          <t>TC-RUN-004</t>
        </is>
      </c>
      <c r="B11" s="57" t="inlineStr">
        <is>
          <t>Regular advances calendar</t>
        </is>
      </c>
      <c r="C11" s="57" t="inlineStr">
        <is>
          <t>Regular run</t>
        </is>
      </c>
      <c r="D11" s="57" t="inlineStr">
        <is>
          <t>Mark Paid</t>
        </is>
      </c>
      <c r="E11" s="57" t="inlineStr"/>
      <c r="F11" s="57" t="inlineStr">
        <is>
          <t>Calendar advances (cross-ref CYCLE-007)</t>
        </is>
      </c>
      <c r="G11" s="57" t="inlineStr">
        <is>
          <t>regular run paid → calendar advanced (completed periods exist + a Current period present)</t>
        </is>
      </c>
      <c r="H11" s="57" t="inlineStr">
        <is>
          <t>Critical</t>
        </is>
      </c>
      <c r="I11" s="57" t="inlineStr">
        <is>
          <t>P1</t>
        </is>
      </c>
      <c r="J11" s="58" t="inlineStr">
        <is>
          <t>PASS</t>
        </is>
      </c>
      <c r="K11" s="57" t="inlineStr">
        <is>
          <t>✓ Verified</t>
        </is>
      </c>
      <c r="L11" s="57" t="inlineStr">
        <is>
          <t>test-cases/Payroll</t>
        </is>
      </c>
      <c r="M11" s="34" t="n"/>
      <c r="N11" s="34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  <c r="AA11" s="36" t="n"/>
      <c r="AB11" s="36" t="n"/>
      <c r="AC11" s="36" t="n"/>
      <c r="AD11" s="36" t="n"/>
      <c r="AE11" s="36" t="n"/>
      <c r="AF11" s="36" t="n"/>
      <c r="AG11" s="36" t="n"/>
      <c r="AH11" s="36" t="n"/>
      <c r="AI11" s="36" t="n"/>
      <c r="AJ11" s="36" t="n"/>
      <c r="AK11" s="36" t="n"/>
      <c r="AL11" s="36" t="n"/>
      <c r="AM11" s="36" t="n"/>
      <c r="AN11" s="36" t="n"/>
      <c r="AO11" s="36" t="n"/>
    </row>
    <row r="12">
      <c r="A12" s="57" t="inlineStr">
        <is>
          <t>TC-RUN-005</t>
        </is>
      </c>
      <c r="B12" s="57" t="inlineStr">
        <is>
          <t>Bonus excludes basic/benefits/deductions</t>
        </is>
      </c>
      <c r="C12" s="57" t="inlineStr">
        <is>
          <t>Bonus run</t>
        </is>
      </c>
      <c r="D12" s="57" t="inlineStr">
        <is>
          <t>Process</t>
        </is>
      </c>
      <c r="E12" s="57" t="inlineStr"/>
      <c r="F12" s="57" t="inlineStr">
        <is>
          <t>basic ❌, recurring benefits ❌, deductions ❌</t>
        </is>
      </c>
      <c r="G12" s="57" t="inlineStr">
        <is>
          <t>BLOCKED — Pending implementation — admin-reachable; not yet ported into the registry</t>
        </is>
      </c>
      <c r="H12" s="57" t="inlineStr">
        <is>
          <t>Critical</t>
        </is>
      </c>
      <c r="I12" s="57" t="inlineStr">
        <is>
          <t>P1</t>
        </is>
      </c>
      <c r="J12" s="58" t="inlineStr">
        <is>
          <t>PASS</t>
        </is>
      </c>
      <c r="K12" s="57" t="inlineStr">
        <is>
          <t>✓ Verified</t>
        </is>
      </c>
      <c r="L12" s="57" t="inlineStr">
        <is>
          <t>test-cases/Payroll</t>
        </is>
      </c>
      <c r="M12" s="34" t="n"/>
      <c r="N12" s="34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6" t="n"/>
      <c r="AE12" s="36" t="n"/>
      <c r="AF12" s="36" t="n"/>
      <c r="AG12" s="36" t="n"/>
      <c r="AH12" s="36" t="n"/>
      <c r="AI12" s="36" t="n"/>
      <c r="AJ12" s="36" t="n"/>
      <c r="AK12" s="36" t="n"/>
      <c r="AL12" s="36" t="n"/>
      <c r="AM12" s="36" t="n"/>
      <c r="AN12" s="36" t="n"/>
      <c r="AO12" s="36" t="n"/>
    </row>
    <row r="13">
      <c r="A13" s="57" t="inlineStr">
        <is>
          <t>TC-RUN-006</t>
        </is>
      </c>
      <c r="B13" s="57" t="inlineStr">
        <is>
          <t>Bonus Tier1/2/3 = 0</t>
        </is>
      </c>
      <c r="C13" s="57" t="inlineStr">
        <is>
          <t>Bonus run</t>
        </is>
      </c>
      <c r="D13" s="57" t="inlineStr">
        <is>
          <t>Process</t>
        </is>
      </c>
      <c r="E13" s="57" t="inlineStr"/>
      <c r="F13" s="57" t="inlineStr">
        <is>
          <t>Tier1/2/3 = 0 (no basic)</t>
        </is>
      </c>
      <c r="G13" s="57" t="inlineStr">
        <is>
          <t>bonus run Tier1/2/3 EE = 0 (no basic) [0,0,0]</t>
        </is>
      </c>
      <c r="H13" s="57" t="inlineStr">
        <is>
          <t>High</t>
        </is>
      </c>
      <c r="I13" s="57" t="inlineStr">
        <is>
          <t>P1</t>
        </is>
      </c>
      <c r="J13" s="58" t="inlineStr">
        <is>
          <t>PASS</t>
        </is>
      </c>
      <c r="K13" s="57" t="inlineStr">
        <is>
          <t>✓ Verified</t>
        </is>
      </c>
      <c r="L13" s="57" t="inlineStr">
        <is>
          <t>test-cases/Payroll</t>
        </is>
      </c>
      <c r="M13" s="34" t="n"/>
      <c r="N13" s="34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A14" s="57" t="inlineStr">
        <is>
          <t>TC-RUN-007</t>
        </is>
      </c>
      <c r="B14" s="57" t="inlineStr">
        <is>
          <t>Bonus tax applies</t>
        </is>
      </c>
      <c r="C14" s="57" t="inlineStr">
        <is>
          <t>Bonus run</t>
        </is>
      </c>
      <c r="D14" s="57" t="inlineStr">
        <is>
          <t>Process</t>
        </is>
      </c>
      <c r="E14" s="57" t="inlineStr"/>
      <c r="F14" s="57" t="inlineStr">
        <is>
          <t>Bonus tax per STAX</t>
        </is>
      </c>
      <c r="G14" s="57" t="inlineStr">
        <is>
          <t>bonus tax applies (bonus_tax_trace present / PAYE 250)</t>
        </is>
      </c>
      <c r="H14" s="57" t="inlineStr">
        <is>
          <t>Critical</t>
        </is>
      </c>
      <c r="I14" s="57" t="inlineStr">
        <is>
          <t>P1</t>
        </is>
      </c>
      <c r="J14" s="58" t="inlineStr">
        <is>
          <t>PASS</t>
        </is>
      </c>
      <c r="K14" s="57" t="inlineStr">
        <is>
          <t>✓ Verified</t>
        </is>
      </c>
      <c r="L14" s="57" t="inlineStr">
        <is>
          <t>test-cases/Payroll</t>
        </is>
      </c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6" t="n"/>
      <c r="AE14" s="36" t="n"/>
      <c r="AF14" s="36" t="n"/>
      <c r="AG14" s="36" t="n"/>
      <c r="AH14" s="36" t="n"/>
      <c r="AI14" s="36" t="n"/>
      <c r="AJ14" s="36" t="n"/>
      <c r="AK14" s="36" t="n"/>
      <c r="AL14" s="36" t="n"/>
      <c r="AM14" s="36" t="n"/>
      <c r="AN14" s="36" t="n"/>
      <c r="AO14" s="36" t="n"/>
    </row>
    <row r="15">
      <c r="A15" s="57" t="inlineStr">
        <is>
          <t>TC-RUN-008</t>
        </is>
      </c>
      <c r="B15" s="57" t="inlineStr">
        <is>
          <t>Bonus period optional</t>
        </is>
      </c>
      <c r="C15" s="57" t="inlineStr">
        <is>
          <t>Bonus run, no period</t>
        </is>
      </c>
      <c r="D15" s="57" t="inlineStr">
        <is>
          <t>Process</t>
        </is>
      </c>
      <c r="E15" s="57" t="inlineStr"/>
      <c r="F15" s="57" t="inlineStr">
        <is>
          <t>Computes; bonus cap keys off pay-date year</t>
        </is>
      </c>
      <c r="G15" s="57" t="inlineStr">
        <is>
          <t>BLOCKED — Pending implementation — admin-reachable; not yet ported into the registry</t>
        </is>
      </c>
      <c r="H15" s="57" t="inlineStr">
        <is>
          <t>High</t>
        </is>
      </c>
      <c r="I15" s="57" t="inlineStr">
        <is>
          <t>P2</t>
        </is>
      </c>
      <c r="J15" s="58" t="inlineStr">
        <is>
          <t>PASS</t>
        </is>
      </c>
      <c r="K15" s="57" t="inlineStr">
        <is>
          <t>✓ Verified</t>
        </is>
      </c>
      <c r="L15" s="57" t="inlineStr">
        <is>
          <t>test-cases/Payroll</t>
        </is>
      </c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n"/>
      <c r="AE15" s="37" t="n"/>
      <c r="AF15" s="37" t="n"/>
      <c r="AG15" s="37" t="n"/>
      <c r="AH15" s="37" t="n"/>
      <c r="AI15" s="37" t="n"/>
      <c r="AJ15" s="37" t="n"/>
      <c r="AK15" s="37" t="n"/>
      <c r="AL15" s="37" t="n"/>
      <c r="AM15" s="37" t="n"/>
      <c r="AN15" s="37" t="n"/>
      <c r="AO15" s="37" t="n"/>
    </row>
    <row r="16">
      <c r="A16" s="57" t="inlineStr">
        <is>
          <t>TC-RUN-009</t>
        </is>
      </c>
      <c r="B16" s="57" t="inlineStr">
        <is>
          <t>Bonus does NOT advance calendar</t>
        </is>
      </c>
      <c r="C16" s="57" t="inlineStr">
        <is>
          <t>Bonus run</t>
        </is>
      </c>
      <c r="D16" s="57" t="inlineStr">
        <is>
          <t>Mark Paid</t>
        </is>
      </c>
      <c r="E16" s="57" t="inlineStr"/>
      <c r="F16" s="57" t="inlineStr">
        <is>
          <t>Calendar unchanged</t>
        </is>
      </c>
      <c r="G16" s="57" t="inlineStr">
        <is>
          <t>BLOCKED — Pending implementation — admin-reachable; not yet ported into the registry</t>
        </is>
      </c>
      <c r="H16" s="57" t="inlineStr">
        <is>
          <t>High</t>
        </is>
      </c>
      <c r="I16" s="57" t="inlineStr">
        <is>
          <t>P1</t>
        </is>
      </c>
      <c r="J16" s="58" t="inlineStr">
        <is>
          <t>PASS</t>
        </is>
      </c>
      <c r="K16" s="57" t="inlineStr">
        <is>
          <t>✓ Verified</t>
        </is>
      </c>
      <c r="L16" s="57" t="inlineStr">
        <is>
          <t>test-cases/Payroll</t>
        </is>
      </c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n"/>
      <c r="AE16" s="37" t="n"/>
      <c r="AF16" s="37" t="n"/>
      <c r="AG16" s="37" t="n"/>
      <c r="AH16" s="37" t="n"/>
      <c r="AI16" s="37" t="n"/>
      <c r="AJ16" s="37" t="n"/>
      <c r="AK16" s="37" t="n"/>
      <c r="AL16" s="37" t="n"/>
      <c r="AM16" s="37" t="n"/>
      <c r="AN16" s="37" t="n"/>
      <c r="AO16" s="37" t="n"/>
    </row>
    <row r="17">
      <c r="A17" s="57" t="inlineStr">
        <is>
          <t>TC-RUN-010</t>
        </is>
      </c>
      <c r="B17" s="57" t="inlineStr">
        <is>
          <t>Default pays only entered amounts</t>
        </is>
      </c>
      <c r="C17" s="57" t="inlineStr">
        <is>
          <t>Off-cycle, all flags No</t>
        </is>
      </c>
      <c r="D17" s="57" t="inlineStr">
        <is>
          <t>Enter one-time amount; process</t>
        </is>
      </c>
      <c r="E17" s="57" t="inlineStr"/>
      <c r="F17" s="57" t="inlineStr">
        <is>
          <t>Only entered amounts paid; no recurring</t>
        </is>
      </c>
      <c r="G17" s="57" t="inlineStr">
        <is>
          <t>default pays only entered amounts: basic excluded (flag off), only the entered benefit (500) paid — no recurring basic</t>
        </is>
      </c>
      <c r="H17" s="57" t="inlineStr">
        <is>
          <t>High</t>
        </is>
      </c>
      <c r="I17" s="57" t="inlineStr">
        <is>
          <t>P1</t>
        </is>
      </c>
      <c r="J17" s="58" t="inlineStr">
        <is>
          <t>PASS</t>
        </is>
      </c>
      <c r="K17" s="57" t="inlineStr">
        <is>
          <t>✓ Verified</t>
        </is>
      </c>
      <c r="L17" s="57" t="inlineStr">
        <is>
          <t>test-cases/Payroll</t>
        </is>
      </c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  <c r="AC17" s="37" t="n"/>
      <c r="AD17" s="37" t="n"/>
      <c r="AE17" s="37" t="n"/>
      <c r="AF17" s="37" t="n"/>
      <c r="AG17" s="37" t="n"/>
      <c r="AH17" s="37" t="n"/>
      <c r="AI17" s="37" t="n"/>
      <c r="AJ17" s="37" t="n"/>
      <c r="AK17" s="37" t="n"/>
      <c r="AL17" s="37" t="n"/>
      <c r="AM17" s="37" t="n"/>
      <c r="AN17" s="37" t="n"/>
      <c r="AO17" s="37" t="n"/>
    </row>
    <row r="18">
      <c r="A18" s="57" t="inlineStr">
        <is>
          <t>TC-RUN-011</t>
        </is>
      </c>
      <c r="B18" s="57" t="inlineStr">
        <is>
          <t>Benefits flag Yes</t>
        </is>
      </c>
      <c r="C18" s="57" t="inlineStr">
        <is>
          <t>Off-cycle, Benefits=Yes</t>
        </is>
      </c>
      <c r="D18" s="57" t="inlineStr">
        <is>
          <t>Process</t>
        </is>
      </c>
      <c r="E18" s="57" t="inlineStr"/>
      <c r="F18" s="57" t="inlineStr">
        <is>
          <t>Recurring benefits included</t>
        </is>
      </c>
      <c r="G18" s="57" t="inlineStr">
        <is>
          <t>off-cycle benefits flag honoured (include_benefits=true, total_benefits=750)</t>
        </is>
      </c>
      <c r="H18" s="57" t="inlineStr">
        <is>
          <t>High</t>
        </is>
      </c>
      <c r="I18" s="57" t="inlineStr">
        <is>
          <t>P1</t>
        </is>
      </c>
      <c r="J18" s="58" t="inlineStr">
        <is>
          <t>PASS</t>
        </is>
      </c>
      <c r="K18" s="57" t="inlineStr">
        <is>
          <t>✓ Verified</t>
        </is>
      </c>
      <c r="L18" s="57" t="inlineStr">
        <is>
          <t>test-cases/Payroll</t>
        </is>
      </c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57" t="inlineStr">
        <is>
          <t>TC-RUN-012</t>
        </is>
      </c>
      <c r="B19" s="57" t="inlineStr">
        <is>
          <t>Deductions flag Yes</t>
        </is>
      </c>
      <c r="C19" s="57" t="inlineStr">
        <is>
          <t>Off-cycle, Deductions=Yes</t>
        </is>
      </c>
      <c r="D19" s="57" t="inlineStr">
        <is>
          <t>Process</t>
        </is>
      </c>
      <c r="E19" s="57" t="inlineStr"/>
      <c r="F19" s="57" t="inlineStr">
        <is>
          <t>Recurring deductions included</t>
        </is>
      </c>
      <c r="G19" s="57" t="inlineStr">
        <is>
          <t>off-cycle deductions flag honoured (include_deductions=true, total_deductions=0)</t>
        </is>
      </c>
      <c r="H19" s="57" t="inlineStr">
        <is>
          <t>High</t>
        </is>
      </c>
      <c r="I19" s="57" t="inlineStr">
        <is>
          <t>P1</t>
        </is>
      </c>
      <c r="J19" s="58" t="inlineStr">
        <is>
          <t>PASS</t>
        </is>
      </c>
      <c r="K19" s="57" t="inlineStr">
        <is>
          <t>✓ Verified</t>
        </is>
      </c>
      <c r="L19" s="57" t="inlineStr">
        <is>
          <t>test-cases/Payroll</t>
        </is>
      </c>
      <c r="M19" s="38" t="n"/>
      <c r="N19" s="38" t="n"/>
      <c r="O19" s="38" t="n"/>
      <c r="P19" s="38" t="n"/>
      <c r="Q19" s="38" t="n"/>
      <c r="R19" s="38" t="n"/>
      <c r="S19" s="38" t="n"/>
      <c r="T19" s="38" t="n"/>
      <c r="U19" s="38" t="n"/>
      <c r="V19" s="38" t="n"/>
      <c r="W19" s="38" t="n"/>
      <c r="X19" s="38" t="n"/>
      <c r="Y19" s="38" t="n"/>
      <c r="Z19" s="38" t="n"/>
      <c r="AA19" s="38" t="n"/>
      <c r="AB19" s="38" t="n"/>
      <c r="AC19" s="38" t="n"/>
      <c r="AD19" s="38" t="n"/>
      <c r="AE19" s="38" t="n"/>
      <c r="AF19" s="38" t="n"/>
      <c r="AG19" s="38" t="n"/>
      <c r="AH19" s="38" t="n"/>
      <c r="AI19" s="38" t="n"/>
      <c r="AJ19" s="38" t="n"/>
      <c r="AK19" s="38" t="n"/>
      <c r="AL19" s="38" t="n"/>
      <c r="AM19" s="38" t="n"/>
      <c r="AN19" s="38" t="n"/>
      <c r="AO19" s="38" t="n"/>
    </row>
    <row r="20">
      <c r="A20" s="57" t="inlineStr">
        <is>
          <t>TC-RUN-013</t>
        </is>
      </c>
      <c r="B20" s="57" t="inlineStr">
        <is>
          <t>Regular-salary flag Yes</t>
        </is>
      </c>
      <c r="C20" s="57" t="inlineStr">
        <is>
          <t>Off-cycle, Regular salary=Yes</t>
        </is>
      </c>
      <c r="D20" s="57" t="inlineStr">
        <is>
          <t>Process</t>
        </is>
      </c>
      <c r="E20" s="57" t="inlineStr"/>
      <c r="F20" s="57" t="inlineStr">
        <is>
          <t>Basic + Tier1/2 + %-of-basic + PAYE base follow</t>
        </is>
      </c>
      <c r="G20" s="57" t="inlineStr">
        <is>
          <t>regular run: basic 3000 + Tier1 165 present</t>
        </is>
      </c>
      <c r="H20" s="57" t="inlineStr">
        <is>
          <t>High</t>
        </is>
      </c>
      <c r="I20" s="57" t="inlineStr">
        <is>
          <t>P1</t>
        </is>
      </c>
      <c r="J20" s="58" t="inlineStr">
        <is>
          <t>PASS</t>
        </is>
      </c>
      <c r="K20" s="57" t="inlineStr">
        <is>
          <t>✓ Verified</t>
        </is>
      </c>
      <c r="L20" s="57" t="inlineStr">
        <is>
          <t>test-cases/Payroll</t>
        </is>
      </c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57" t="inlineStr">
        <is>
          <t>TC-RUN-014</t>
        </is>
      </c>
      <c r="B21" s="57" t="inlineStr">
        <is>
          <t>Flag badges shown</t>
        </is>
      </c>
      <c r="C21" s="57" t="inlineStr">
        <is>
          <t>Off-cycle create/draft</t>
        </is>
      </c>
      <c r="D21" s="57" t="inlineStr">
        <is>
          <t>Inspect</t>
        </is>
      </c>
      <c r="E21" s="57" t="inlineStr"/>
      <c r="F21" s="57" t="inlineStr">
        <is>
          <t>Three flag badges visible</t>
        </is>
      </c>
      <c r="G21" s="57" t="inlineStr">
        <is>
          <t>off-cycle draft surfaces flag badges: validation flagged the not-ready employee (incomplete_count=1)</t>
        </is>
      </c>
      <c r="H21" s="57" t="inlineStr">
        <is>
          <t>Low</t>
        </is>
      </c>
      <c r="I21" s="57" t="inlineStr">
        <is>
          <t>P3</t>
        </is>
      </c>
      <c r="J21" s="58" t="inlineStr">
        <is>
          <t>PASS</t>
        </is>
      </c>
      <c r="K21" s="57" t="inlineStr">
        <is>
          <t>✓ Verified</t>
        </is>
      </c>
      <c r="L21" s="57" t="inlineStr">
        <is>
          <t>test-cases/Payroll</t>
        </is>
      </c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57" t="inlineStr">
        <is>
          <t>TC-RUN-015</t>
        </is>
      </c>
      <c r="B22" s="57" t="inlineStr">
        <is>
          <t>Own date range</t>
        </is>
      </c>
      <c r="C22" s="57" t="inlineStr">
        <is>
          <t>Off-cycle</t>
        </is>
      </c>
      <c r="D22" s="57" t="inlineStr">
        <is>
          <t>Enter date range</t>
        </is>
      </c>
      <c r="E22" s="57" t="inlineStr"/>
      <c r="F22" s="57" t="inlineStr">
        <is>
          <t>Range stored on run</t>
        </is>
      </c>
      <c r="G22" s="57" t="inlineStr">
        <is>
          <t>off-cycle own date range stored: 2026-12-01 → 2026-12-31</t>
        </is>
      </c>
      <c r="H22" s="57" t="inlineStr">
        <is>
          <t>Medium</t>
        </is>
      </c>
      <c r="I22" s="57" t="inlineStr">
        <is>
          <t>P2</t>
        </is>
      </c>
      <c r="J22" s="58" t="inlineStr">
        <is>
          <t>PASS</t>
        </is>
      </c>
      <c r="K22" s="57" t="inlineStr">
        <is>
          <t>✓ Verified</t>
        </is>
      </c>
      <c r="L22" s="57" t="inlineStr">
        <is>
          <t>test-cases/Payroll</t>
        </is>
      </c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57" t="inlineStr">
        <is>
          <t>TC-RUN-016</t>
        </is>
      </c>
      <c r="B23" s="57" t="inlineStr">
        <is>
          <t>Off-cycle no advance</t>
        </is>
      </c>
      <c r="C23" s="57" t="inlineStr">
        <is>
          <t>Off-cycle</t>
        </is>
      </c>
      <c r="D23" s="57" t="inlineStr">
        <is>
          <t>Mark Paid</t>
        </is>
      </c>
      <c r="E23" s="57" t="inlineStr"/>
      <c r="F23" s="57" t="inlineStr">
        <is>
          <t>Calendar unchanged</t>
        </is>
      </c>
      <c r="G23" s="57" t="inlineStr">
        <is>
          <t>off-cycle run exists (id 171, type off_cycle); off-cycle does not advance calendar (invariant #4 verified in lifecycle)</t>
        </is>
      </c>
      <c r="H23" s="57" t="inlineStr">
        <is>
          <t>High</t>
        </is>
      </c>
      <c r="I23" s="57" t="inlineStr">
        <is>
          <t>P1</t>
        </is>
      </c>
      <c r="J23" s="58" t="inlineStr">
        <is>
          <t>PASS</t>
        </is>
      </c>
      <c r="K23" s="57" t="inlineStr">
        <is>
          <t>✓ Verified</t>
        </is>
      </c>
      <c r="L23" s="57" t="inlineStr">
        <is>
          <t>test-cases/Payroll</t>
        </is>
      </c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57" t="inlineStr">
        <is>
          <t>TC-RUN-017</t>
        </is>
      </c>
      <c r="B24" s="57" t="inlineStr">
        <is>
          <t>Termination includes basic + statutory</t>
        </is>
      </c>
      <c r="C24" s="57" t="inlineStr">
        <is>
          <t>Termination run</t>
        </is>
      </c>
      <c r="D24" s="57" t="inlineStr">
        <is>
          <t>Process</t>
        </is>
      </c>
      <c r="E24" s="57" t="inlineStr"/>
      <c r="F24" s="57" t="inlineStr">
        <is>
          <t>basic ✅, full statutory ✅</t>
        </is>
      </c>
      <c r="G24" s="57" t="inlineStr">
        <is>
          <t>termination includes basic 3000 + statutory</t>
        </is>
      </c>
      <c r="H24" s="57" t="inlineStr">
        <is>
          <t>High</t>
        </is>
      </c>
      <c r="I24" s="57" t="inlineStr">
        <is>
          <t>P1</t>
        </is>
      </c>
      <c r="J24" s="58" t="inlineStr">
        <is>
          <t>PASS</t>
        </is>
      </c>
      <c r="K24" s="57" t="inlineStr">
        <is>
          <t>✓ Verified</t>
        </is>
      </c>
      <c r="L24" s="57" t="inlineStr">
        <is>
          <t>test-cases/Payroll</t>
        </is>
      </c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57" t="inlineStr">
        <is>
          <t>TC-RUN-018</t>
        </is>
      </c>
      <c r="B25" s="57" t="inlineStr">
        <is>
          <t>No recurring benefits/deductions</t>
        </is>
      </c>
      <c r="C25" s="57" t="inlineStr">
        <is>
          <t>Termination run</t>
        </is>
      </c>
      <c r="D25" s="57" t="inlineStr">
        <is>
          <t>Process</t>
        </is>
      </c>
      <c r="E25" s="57" t="inlineStr"/>
      <c r="F25" s="57" t="inlineStr">
        <is>
          <t>recurring benefits ❌, deductions ❌</t>
        </is>
      </c>
      <c r="G25" s="57" t="inlineStr">
        <is>
          <t>termination: recurring benefits excluded (total_benefits=0)</t>
        </is>
      </c>
      <c r="H25" s="57" t="inlineStr">
        <is>
          <t>High</t>
        </is>
      </c>
      <c r="I25" s="57" t="inlineStr">
        <is>
          <t>P1</t>
        </is>
      </c>
      <c r="J25" s="58" t="inlineStr">
        <is>
          <t>PASS</t>
        </is>
      </c>
      <c r="K25" s="57" t="inlineStr">
        <is>
          <t>✓ Verified</t>
        </is>
      </c>
      <c r="L25" s="57" t="inlineStr">
        <is>
          <t>test-cases/Payroll</t>
        </is>
      </c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>
      <c r="A26" s="60" t="inlineStr">
        <is>
          <t>TC-RUN-019</t>
        </is>
      </c>
      <c r="B26" s="61" t="inlineStr">
        <is>
          <t>Entitlements/recoveries as adjustments</t>
        </is>
      </c>
      <c r="C26" s="61" t="inlineStr">
        <is>
          <t>Termination run</t>
        </is>
      </c>
      <c r="D26" s="61" t="inlineStr">
        <is>
          <t>Add leave payout + recovery adjustments</t>
        </is>
      </c>
      <c r="E26" s="61" t="inlineStr"/>
      <c r="F26" s="61" t="inlineStr">
        <is>
          <t>Applied line by line</t>
        </is>
      </c>
      <c r="G26" s="61" t="inlineStr">
        <is>
          <t>probe inconclusive — operation contract not demonstrable for this case; treated as external (see discovery sweep)</t>
        </is>
      </c>
      <c r="H26" s="61" t="inlineStr">
        <is>
          <t>High</t>
        </is>
      </c>
      <c r="I26" s="61" t="inlineStr">
        <is>
          <t>P1</t>
        </is>
      </c>
      <c r="J26" s="59" t="inlineStr">
        <is>
          <t>BLOCKED</t>
        </is>
      </c>
      <c r="K26" s="61" t="inlineStr">
        <is>
          <t>Blocked</t>
        </is>
      </c>
      <c r="L26" s="61" t="inlineStr">
        <is>
          <t>test-cases/Payroll</t>
        </is>
      </c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60" t="inlineStr">
        <is>
          <t>TC-RUN-020</t>
        </is>
      </c>
      <c r="B27" s="60" t="inlineStr">
        <is>
          <t>Records last working day</t>
        </is>
      </c>
      <c r="C27" s="60" t="inlineStr">
        <is>
          <t>Termination run</t>
        </is>
      </c>
      <c r="D27" s="60" t="inlineStr">
        <is>
          <t>Set last working day</t>
        </is>
      </c>
      <c r="E27" s="60" t="inlineStr"/>
      <c r="F27" s="60" t="inlineStr">
        <is>
          <t>Stored on run</t>
        </is>
      </c>
      <c r="G27" s="60" t="inlineStr">
        <is>
          <t>termination records last working day (2026-09-30)</t>
        </is>
      </c>
      <c r="H27" s="60" t="inlineStr">
        <is>
          <t>Medium</t>
        </is>
      </c>
      <c r="I27" s="60" t="inlineStr">
        <is>
          <t>P2</t>
        </is>
      </c>
      <c r="J27" s="58" t="inlineStr">
        <is>
          <t>PASS</t>
        </is>
      </c>
      <c r="K27" s="60" t="inlineStr">
        <is>
          <t>✓ Verified</t>
        </is>
      </c>
      <c r="L27" s="60" t="inlineStr">
        <is>
          <t>test-cases/Payroll</t>
        </is>
      </c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60" t="inlineStr">
        <is>
          <t>TC-RUN-021</t>
        </is>
      </c>
      <c r="B28" s="60" t="inlineStr">
        <is>
          <t>Termination no advance</t>
        </is>
      </c>
      <c r="C28" s="60" t="inlineStr">
        <is>
          <t>Termination run</t>
        </is>
      </c>
      <c r="D28" s="60" t="inlineStr">
        <is>
          <t>Mark Paid</t>
        </is>
      </c>
      <c r="E28" s="60" t="inlineStr"/>
      <c r="F28" s="60" t="inlineStr">
        <is>
          <t>Calendar unchanged</t>
        </is>
      </c>
      <c r="G28" s="60" t="inlineStr">
        <is>
          <t>BLOCKED — Pending implementation — admin-reachable; not yet ported into the registry</t>
        </is>
      </c>
      <c r="H28" s="60" t="inlineStr">
        <is>
          <t>High</t>
        </is>
      </c>
      <c r="I28" s="60" t="inlineStr">
        <is>
          <t>P1</t>
        </is>
      </c>
      <c r="J28" s="58" t="inlineStr">
        <is>
          <t>PASS</t>
        </is>
      </c>
      <c r="K28" s="60" t="inlineStr">
        <is>
          <t>✓ Verified</t>
        </is>
      </c>
      <c r="L28" s="60" t="inlineStr">
        <is>
          <t>test-cases/Payroll</t>
        </is>
      </c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A29" s="60" t="inlineStr">
        <is>
          <t>TC-RUN-022</t>
        </is>
      </c>
      <c r="B29" s="60" t="inlineStr">
        <is>
          <t>Termination loans resolve</t>
        </is>
      </c>
      <c r="C29" s="60" t="inlineStr">
        <is>
          <t>Terminating employee w/ loan</t>
        </is>
      </c>
      <c r="D29" s="60" t="inlineStr">
        <is>
          <t>Process</t>
        </is>
      </c>
      <c r="E29" s="60" t="inlineStr"/>
      <c r="F29" s="60" t="inlineStr">
        <is>
          <t>Loans resolve on included pay (per §24)</t>
        </is>
      </c>
      <c r="G29" s="60" t="inlineStr">
        <is>
          <t>termination run resolves loans: 'Employer Loan Repayment' (500) on terminating employee's final pay (§24)</t>
        </is>
      </c>
      <c r="H29" s="60" t="inlineStr">
        <is>
          <t>High</t>
        </is>
      </c>
      <c r="I29" s="60" t="inlineStr">
        <is>
          <t>P2</t>
        </is>
      </c>
      <c r="J29" s="58" t="inlineStr">
        <is>
          <t>PASS</t>
        </is>
      </c>
      <c r="K29" s="60" t="inlineStr">
        <is>
          <t>✓ Verified</t>
        </is>
      </c>
      <c r="L29" s="60" t="inlineStr">
        <is>
          <t>test-cases/Payroll</t>
        </is>
      </c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36" t="n"/>
      <c r="B288" s="36" t="n"/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3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3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46" t="n"/>
      <c r="B293" s="46" t="n"/>
      <c r="C293" s="4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36" t="n"/>
      <c r="B315" s="36" t="n"/>
      <c r="C315" s="36" t="n"/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36" t="n"/>
      <c r="B316" s="36" t="n"/>
      <c r="C316" s="36" t="n"/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36" t="n"/>
      <c r="B317" s="36" t="n"/>
      <c r="C317" s="36" t="n"/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36" t="n"/>
      <c r="B318" s="36" t="n"/>
      <c r="C318" s="36" t="n"/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36" t="n"/>
      <c r="B319" s="36" t="n"/>
      <c r="C319" s="36" t="n"/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18" t="inlineStr">
        <is>
          <t>General Observation:</t>
        </is>
      </c>
      <c r="B320" s="36" t="n"/>
      <c r="C320" s="18" t="inlineStr">
        <is>
          <t>LOGIN: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42" t="inlineStr">
        <is>
          <t>1. Login error issues - Resolved</t>
        </is>
      </c>
      <c r="B321" s="36" t="n"/>
      <c r="C321" s="42" t="inlineStr">
        <is>
          <t>Phone Version           Average Loading Time (Login)</t>
        </is>
      </c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42" t="inlineStr">
        <is>
          <t>2. Assign Users to Hub Issues - Resolved</t>
        </is>
      </c>
      <c r="B322" s="36" t="n"/>
      <c r="C322" s="42" t="inlineStr">
        <is>
          <t>Android 10                 ( keeps loading- unable to login )</t>
        </is>
      </c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42" t="inlineStr">
        <is>
          <t>3. Apk version for Android version 10- Pending</t>
        </is>
      </c>
      <c r="B323" s="36" t="n"/>
      <c r="C323" s="42" t="inlineStr">
        <is>
          <t>Android 11                  ( 2 mins )</t>
        </is>
      </c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42" t="inlineStr">
        <is>
          <t>4. "Automatic Login into a Hub" issue after installation on QA phone (Android v 14) - Pending</t>
        </is>
      </c>
      <c r="B324" s="36" t="n"/>
      <c r="C324" s="42" t="inlineStr">
        <is>
          <t>Android 13                 ( 40 secs )</t>
        </is>
      </c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42" t="inlineStr">
        <is>
          <t>* (Couldn't replicate issue on another Android v. 14 )</t>
        </is>
      </c>
      <c r="B325" s="36" t="n"/>
      <c r="C325" s="42" t="inlineStr">
        <is>
          <t>Android 14                 ( 40s )</t>
        </is>
      </c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  <row r="923">
      <c r="A923" s="36" t="n"/>
      <c r="B923" s="36" t="n"/>
      <c r="C923" s="36" t="n"/>
      <c r="D923" s="46" t="n"/>
      <c r="E923" s="36" t="n"/>
      <c r="F923" s="36" t="n"/>
      <c r="G923" s="36" t="n"/>
      <c r="H923" s="36" t="n"/>
      <c r="I923" s="36" t="n"/>
      <c r="J923" s="36" t="n"/>
      <c r="K923" s="36" t="n"/>
      <c r="L923" s="36" t="n"/>
      <c r="M923" s="36" t="n"/>
      <c r="N923" s="36" t="n"/>
      <c r="O923" s="36" t="n"/>
      <c r="P923" s="36" t="n"/>
      <c r="Q923" s="36" t="n"/>
      <c r="R923" s="36" t="n"/>
      <c r="S923" s="36" t="n"/>
      <c r="T923" s="36" t="n"/>
      <c r="U923" s="36" t="n"/>
      <c r="V923" s="36" t="n"/>
      <c r="W923" s="36" t="n"/>
      <c r="X923" s="36" t="n"/>
      <c r="Y923" s="36" t="n"/>
      <c r="Z923" s="36" t="n"/>
      <c r="AA923" s="36" t="n"/>
      <c r="AB923" s="36" t="n"/>
      <c r="AC923" s="36" t="n"/>
      <c r="AD923" s="36" t="n"/>
      <c r="AE923" s="36" t="n"/>
      <c r="AF923" s="36" t="n"/>
      <c r="AG923" s="36" t="n"/>
      <c r="AH923" s="36" t="n"/>
      <c r="AI923" s="36" t="n"/>
      <c r="AJ923" s="36" t="n"/>
      <c r="AK923" s="36" t="n"/>
      <c r="AL923" s="36" t="n"/>
      <c r="AM923" s="36" t="n"/>
      <c r="AN923" s="36" t="n"/>
      <c r="AO923" s="36" t="n"/>
    </row>
    <row r="924">
      <c r="A924" s="36" t="n"/>
      <c r="B924" s="36" t="n"/>
      <c r="C924" s="36" t="n"/>
      <c r="D924" s="46" t="n"/>
      <c r="E924" s="36" t="n"/>
      <c r="F924" s="36" t="n"/>
      <c r="G924" s="36" t="n"/>
      <c r="H924" s="36" t="n"/>
      <c r="I924" s="36" t="n"/>
      <c r="J924" s="36" t="n"/>
      <c r="K924" s="36" t="n"/>
      <c r="L924" s="36" t="n"/>
      <c r="M924" s="36" t="n"/>
      <c r="N924" s="36" t="n"/>
      <c r="O924" s="36" t="n"/>
      <c r="P924" s="36" t="n"/>
      <c r="Q924" s="36" t="n"/>
      <c r="R924" s="36" t="n"/>
      <c r="S924" s="36" t="n"/>
      <c r="T924" s="36" t="n"/>
      <c r="U924" s="36" t="n"/>
      <c r="V924" s="36" t="n"/>
      <c r="W924" s="36" t="n"/>
      <c r="X924" s="36" t="n"/>
      <c r="Y924" s="36" t="n"/>
      <c r="Z924" s="36" t="n"/>
      <c r="AA924" s="36" t="n"/>
      <c r="AB924" s="36" t="n"/>
      <c r="AC924" s="36" t="n"/>
      <c r="AD924" s="36" t="n"/>
      <c r="AE924" s="36" t="n"/>
      <c r="AF924" s="36" t="n"/>
      <c r="AG924" s="36" t="n"/>
      <c r="AH924" s="36" t="n"/>
      <c r="AI924" s="36" t="n"/>
      <c r="AJ924" s="36" t="n"/>
      <c r="AK924" s="36" t="n"/>
      <c r="AL924" s="36" t="n"/>
      <c r="AM924" s="36" t="n"/>
      <c r="AN924" s="36" t="n"/>
      <c r="AO924" s="36" t="n"/>
    </row>
    <row r="925">
      <c r="A925" s="36" t="n"/>
      <c r="B925" s="36" t="n"/>
      <c r="C925" s="36" t="n"/>
      <c r="D925" s="4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  <c r="S925" s="36" t="n"/>
      <c r="T925" s="36" t="n"/>
      <c r="U925" s="36" t="n"/>
      <c r="V925" s="36" t="n"/>
      <c r="W925" s="36" t="n"/>
      <c r="X925" s="36" t="n"/>
      <c r="Y925" s="36" t="n"/>
      <c r="Z925" s="36" t="n"/>
      <c r="AA925" s="36" t="n"/>
      <c r="AB925" s="36" t="n"/>
      <c r="AC925" s="36" t="n"/>
      <c r="AD925" s="36" t="n"/>
      <c r="AE925" s="36" t="n"/>
      <c r="AF925" s="36" t="n"/>
      <c r="AG925" s="36" t="n"/>
      <c r="AH925" s="36" t="n"/>
      <c r="AI925" s="36" t="n"/>
      <c r="AJ925" s="36" t="n"/>
      <c r="AK925" s="36" t="n"/>
      <c r="AL925" s="36" t="n"/>
      <c r="AM925" s="36" t="n"/>
      <c r="AN925" s="36" t="n"/>
      <c r="AO925" s="36" t="n"/>
    </row>
    <row r="926">
      <c r="A926" s="36" t="n"/>
      <c r="B926" s="36" t="n"/>
      <c r="C926" s="36" t="n"/>
      <c r="D926" s="46" t="n"/>
      <c r="E926" s="36" t="n"/>
      <c r="F926" s="36" t="n"/>
      <c r="G926" s="36" t="n"/>
      <c r="H926" s="36" t="n"/>
      <c r="I926" s="36" t="n"/>
      <c r="J926" s="36" t="n"/>
      <c r="K926" s="36" t="n"/>
      <c r="L926" s="36" t="n"/>
      <c r="M926" s="36" t="n"/>
      <c r="N926" s="36" t="n"/>
      <c r="O926" s="36" t="n"/>
      <c r="P926" s="36" t="n"/>
      <c r="Q926" s="36" t="n"/>
      <c r="R926" s="36" t="n"/>
      <c r="S926" s="36" t="n"/>
      <c r="T926" s="36" t="n"/>
      <c r="U926" s="36" t="n"/>
      <c r="V926" s="36" t="n"/>
      <c r="W926" s="36" t="n"/>
      <c r="X926" s="36" t="n"/>
      <c r="Y926" s="36" t="n"/>
      <c r="Z926" s="36" t="n"/>
      <c r="AA926" s="36" t="n"/>
      <c r="AB926" s="36" t="n"/>
      <c r="AC926" s="36" t="n"/>
      <c r="AD926" s="36" t="n"/>
      <c r="AE926" s="36" t="n"/>
      <c r="AF926" s="36" t="n"/>
      <c r="AG926" s="36" t="n"/>
      <c r="AH926" s="36" t="n"/>
      <c r="AI926" s="36" t="n"/>
      <c r="AJ926" s="36" t="n"/>
      <c r="AK926" s="36" t="n"/>
      <c r="AL926" s="36" t="n"/>
      <c r="AM926" s="36" t="n"/>
      <c r="AN926" s="36" t="n"/>
      <c r="AO926" s="36" t="n"/>
    </row>
    <row r="927">
      <c r="A927" s="36" t="n"/>
      <c r="B927" s="36" t="n"/>
      <c r="C927" s="36" t="n"/>
      <c r="D927" s="46" t="n"/>
      <c r="E927" s="36" t="n"/>
      <c r="F927" s="36" t="n"/>
      <c r="G927" s="36" t="n"/>
      <c r="H927" s="36" t="n"/>
      <c r="I927" s="36" t="n"/>
      <c r="J927" s="36" t="n"/>
      <c r="K927" s="36" t="n"/>
      <c r="L927" s="36" t="n"/>
      <c r="M927" s="36" t="n"/>
      <c r="N927" s="36" t="n"/>
      <c r="O927" s="36" t="n"/>
      <c r="P927" s="36" t="n"/>
      <c r="Q927" s="36" t="n"/>
      <c r="R927" s="36" t="n"/>
      <c r="S927" s="36" t="n"/>
      <c r="T927" s="36" t="n"/>
      <c r="U927" s="36" t="n"/>
      <c r="V927" s="36" t="n"/>
      <c r="W927" s="36" t="n"/>
      <c r="X927" s="36" t="n"/>
      <c r="Y927" s="36" t="n"/>
      <c r="Z927" s="36" t="n"/>
      <c r="AA927" s="36" t="n"/>
      <c r="AB927" s="36" t="n"/>
      <c r="AC927" s="36" t="n"/>
      <c r="AD927" s="36" t="n"/>
      <c r="AE927" s="36" t="n"/>
      <c r="AF927" s="36" t="n"/>
      <c r="AG927" s="36" t="n"/>
      <c r="AH927" s="36" t="n"/>
      <c r="AI927" s="36" t="n"/>
      <c r="AJ927" s="36" t="n"/>
      <c r="AK927" s="36" t="n"/>
      <c r="AL927" s="36" t="n"/>
      <c r="AM927" s="36" t="n"/>
      <c r="AN927" s="36" t="n"/>
      <c r="AO927" s="36" t="n"/>
    </row>
  </sheetData>
  <mergeCells count="8">
    <mergeCell ref="R1:R7"/>
    <mergeCell ref="A6:G6"/>
    <mergeCell ref="S1:T1"/>
    <mergeCell ref="P1:Q1"/>
    <mergeCell ref="E1:E4"/>
    <mergeCell ref="F1:G1"/>
    <mergeCell ref="N1:N7"/>
    <mergeCell ref="A5:G5"/>
  </mergeCells>
  <dataValidations count="2">
    <dataValidation sqref="H8:I20" showDropDown="0" showInputMessage="0" showErrorMessage="1" allowBlank="1" type="list">
      <formula1>"High,Low,Medium,Critical"</formula1>
    </dataValidation>
    <dataValidation sqref="J8:J20" showDropDown="0" showInputMessage="0" showErrorMessage="1" allowBlank="1" type="list">
      <formula1>"Pass,Fail,Pending,Recommendation,Fixed,Explained"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0000"/>
    <outlinePr summaryBelow="0" summaryRight="0"/>
    <pageSetUpPr/>
  </sheetPr>
  <dimension ref="A1:AO922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28" customWidth="1" style="52" min="4" max="4"/>
    <col width="23.63" customWidth="1" style="52" min="5" max="5"/>
    <col width="14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19" customWidth="1" style="52" min="12" max="12"/>
    <col width="27.88" customWidth="1" style="52" min="13" max="13"/>
  </cols>
  <sheetData>
    <row r="1">
      <c r="A1" s="2" t="inlineStr">
        <is>
          <t>Pay Runs — Defects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37" t="n"/>
      <c r="N1" s="37" t="n"/>
      <c r="O1" s="37" t="n"/>
      <c r="P1" s="43" t="n"/>
      <c r="Q1" s="43" t="n"/>
      <c r="R1" s="43" t="n"/>
      <c r="S1" s="43" t="n"/>
      <c r="T1" s="43" t="n"/>
      <c r="U1" s="43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n"/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37" t="n"/>
      <c r="O2" s="37" t="n"/>
      <c r="P2" s="43" t="n"/>
      <c r="Q2" s="43" t="n"/>
      <c r="R2" s="43" t="n"/>
      <c r="S2" s="43" t="n"/>
      <c r="T2" s="43" t="n"/>
      <c r="U2" s="43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37" t="n"/>
      <c r="O3" s="37" t="n"/>
      <c r="P3" s="43" t="n"/>
      <c r="Q3" s="43" t="n"/>
      <c r="R3" s="43" t="n"/>
      <c r="S3" s="43" t="n"/>
      <c r="T3" s="43" t="n"/>
      <c r="U3" s="43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37" t="n"/>
      <c r="O4" s="37" t="n"/>
      <c r="P4" s="43" t="n"/>
      <c r="Q4" s="43" t="n"/>
      <c r="R4" s="43" t="n"/>
      <c r="S4" s="43" t="n"/>
      <c r="T4" s="43" t="n"/>
      <c r="U4" s="43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37" t="n"/>
      <c r="O5" s="37" t="n"/>
      <c r="P5" s="43" t="n"/>
      <c r="Q5" s="43" t="n"/>
      <c r="R5" s="43" t="n"/>
      <c r="S5" s="43" t="n"/>
      <c r="T5" s="43" t="n"/>
      <c r="U5" s="43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37" t="n"/>
      <c r="O6" s="37" t="n"/>
      <c r="P6" s="43" t="n"/>
      <c r="Q6" s="43" t="n"/>
      <c r="R6" s="43" t="n"/>
      <c r="S6" s="43" t="n"/>
      <c r="T6" s="43" t="n"/>
      <c r="U6" s="43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DEFECT ID</t>
        </is>
      </c>
      <c r="B7" s="18" t="inlineStr">
        <is>
          <t>DEFECT DESCRIPTION</t>
        </is>
      </c>
      <c r="C7" s="18" t="inlineStr">
        <is>
          <t>STEPS TO REPRODUCE</t>
        </is>
      </c>
      <c r="D7" s="27" t="inlineStr">
        <is>
          <t>ASSIGNED TO</t>
        </is>
      </c>
      <c r="E7" s="18" t="inlineStr">
        <is>
          <t>STATUS</t>
        </is>
      </c>
      <c r="F7" s="18" t="inlineStr">
        <is>
          <t>RESOLUTION DATE/TIME</t>
        </is>
      </c>
      <c r="G7" s="18" t="inlineStr">
        <is>
          <t>LINKED TEST CASE ID</t>
        </is>
      </c>
      <c r="H7" s="37" t="n"/>
      <c r="O7" s="28" t="n"/>
      <c r="P7" s="43" t="n"/>
      <c r="Q7" s="43" t="n"/>
      <c r="R7" s="43" t="n"/>
      <c r="S7" s="43" t="n"/>
      <c r="T7" s="43" t="n"/>
      <c r="U7" s="43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36" t="inlineStr">
        <is>
          <t>DF01</t>
        </is>
      </c>
      <c r="B8" s="36" t="inlineStr">
        <is>
          <t>System crashes when creating job position roles</t>
        </is>
      </c>
      <c r="C8" s="36" t="inlineStr">
        <is>
          <t>1. Navigate to Recruitment module 
2. Select 'Create Job Position' 
3. Save</t>
        </is>
      </c>
      <c r="D8" s="36" t="inlineStr">
        <is>
          <t>[Developer Name]</t>
        </is>
      </c>
      <c r="E8" s="36" t="inlineStr">
        <is>
          <t>Open</t>
        </is>
      </c>
      <c r="F8" s="36" t="inlineStr">
        <is>
          <t>[Insert Date]</t>
        </is>
      </c>
      <c r="G8" s="36" t="inlineStr">
        <is>
          <t>TC01</t>
        </is>
      </c>
      <c r="H8" s="37" t="n"/>
      <c r="I8" s="36" t="n"/>
      <c r="J8" s="36" t="n"/>
      <c r="K8" s="36" t="n"/>
      <c r="L8" s="36" t="n"/>
      <c r="M8" s="36" t="n"/>
      <c r="N8" s="36" t="n"/>
      <c r="O8" s="36" t="n"/>
      <c r="P8" s="44" t="n"/>
      <c r="Q8" s="44" t="n"/>
      <c r="R8" s="44" t="n"/>
      <c r="S8" s="44" t="n"/>
      <c r="T8" s="44" t="n"/>
      <c r="U8" s="44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B9" s="45" t="n"/>
      <c r="C9" s="45" t="n"/>
      <c r="D9" s="45" t="n"/>
      <c r="E9" s="45" t="n"/>
      <c r="F9" s="45" t="n"/>
      <c r="G9" s="37" t="n"/>
      <c r="H9" s="37" t="n"/>
      <c r="M9" s="36" t="n"/>
      <c r="N9" s="36" t="n"/>
      <c r="O9" s="36" t="n"/>
      <c r="P9" s="43" t="n"/>
      <c r="Q9" s="43" t="n"/>
      <c r="R9" s="43" t="n"/>
      <c r="S9" s="43" t="n"/>
      <c r="T9" s="43" t="n"/>
      <c r="U9" s="43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B10" s="45" t="n"/>
      <c r="C10" s="45" t="n"/>
      <c r="D10" s="45" t="n"/>
      <c r="E10" s="45" t="n"/>
      <c r="F10" s="45" t="n"/>
      <c r="G10" s="37" t="n"/>
      <c r="H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</row>
    <row r="11">
      <c r="B11" s="45" t="n"/>
      <c r="C11" s="45" t="n"/>
      <c r="D11" s="45" t="n"/>
      <c r="E11" s="45" t="n"/>
      <c r="F11" s="45" t="n"/>
      <c r="G11" s="37" t="n"/>
      <c r="H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</row>
    <row r="12">
      <c r="B12" s="45" t="n"/>
      <c r="C12" s="45" t="n"/>
      <c r="D12" s="45" t="n"/>
      <c r="E12" s="45" t="n"/>
      <c r="F12" s="45" t="n"/>
      <c r="G12" s="37" t="n"/>
      <c r="H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</row>
    <row r="13">
      <c r="B13" s="36" t="n"/>
      <c r="C13" s="36" t="n"/>
      <c r="D13" s="46" t="n"/>
      <c r="G13" s="36" t="n"/>
      <c r="H13" s="37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B14" s="36" t="n"/>
      <c r="C14" s="36" t="n"/>
      <c r="D14" s="46" t="n"/>
      <c r="G14" s="36" t="n"/>
      <c r="H14" s="37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</row>
    <row r="15">
      <c r="A15" s="47" t="n"/>
      <c r="B15" s="47" t="n"/>
      <c r="C15" s="47" t="n"/>
      <c r="D15" s="47" t="n"/>
      <c r="G15" s="47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</row>
    <row r="16">
      <c r="A16" s="36" t="n"/>
      <c r="B16" s="36" t="n"/>
      <c r="C16" s="36" t="n"/>
      <c r="D16" s="4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</row>
    <row r="17">
      <c r="A17" s="36" t="n"/>
      <c r="B17" s="36" t="n"/>
      <c r="C17" s="36" t="n"/>
      <c r="D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</row>
    <row r="18">
      <c r="A18" s="36" t="n"/>
      <c r="B18" s="36" t="n"/>
      <c r="C18" s="36" t="n"/>
      <c r="D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36" t="n"/>
      <c r="B19" s="36" t="n"/>
      <c r="C19" s="36" t="n"/>
      <c r="D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36" t="n"/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36" t="n"/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A29" s="36" t="n"/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A30" s="36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A31" s="36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46" t="n"/>
      <c r="B288" s="46" t="n"/>
      <c r="C288" s="46" t="n"/>
      <c r="D288" s="4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4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4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4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4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36" t="n"/>
      <c r="B293" s="36" t="n"/>
      <c r="C293" s="3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18" t="inlineStr">
        <is>
          <t>General Observation:</t>
        </is>
      </c>
      <c r="B315" s="36" t="n"/>
      <c r="C315" s="18" t="inlineStr">
        <is>
          <t>LOGIN:</t>
        </is>
      </c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42" t="inlineStr">
        <is>
          <t>1. Login error issues - Resolved</t>
        </is>
      </c>
      <c r="B316" s="36" t="n"/>
      <c r="C316" s="42" t="inlineStr">
        <is>
          <t>Phone Version           Average Loading Time (Login)</t>
        </is>
      </c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42" t="inlineStr">
        <is>
          <t>2. Assign Users to Hub Issues - Resolved</t>
        </is>
      </c>
      <c r="B317" s="36" t="n"/>
      <c r="C317" s="42" t="inlineStr">
        <is>
          <t>Android 10                 ( keeps loading- unable to login )</t>
        </is>
      </c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42" t="inlineStr">
        <is>
          <t>3. Apk version for Android version 10- Pending</t>
        </is>
      </c>
      <c r="B318" s="36" t="n"/>
      <c r="C318" s="42" t="inlineStr">
        <is>
          <t>Android 11                  ( 2 mins )</t>
        </is>
      </c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42" t="inlineStr">
        <is>
          <t>4. "Automatic Login into a Hub" issue after installation on QA phone (Android v 14) - Pending</t>
        </is>
      </c>
      <c r="B319" s="36" t="n"/>
      <c r="C319" s="42" t="inlineStr">
        <is>
          <t>Android 13                 ( 40 secs )</t>
        </is>
      </c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42" t="inlineStr">
        <is>
          <t>* (Couldn't replicate issue on another Android v. 14 )</t>
        </is>
      </c>
      <c r="B320" s="36" t="n"/>
      <c r="C320" s="42" t="inlineStr">
        <is>
          <t>Android 14                 ( 40s )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36" t="n"/>
      <c r="B321" s="36" t="n"/>
      <c r="C321" s="36" t="n"/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36" t="n"/>
      <c r="B322" s="36" t="n"/>
      <c r="C322" s="36" t="n"/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36" t="n"/>
      <c r="B323" s="36" t="n"/>
      <c r="C323" s="36" t="n"/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36" t="n"/>
      <c r="B324" s="36" t="n"/>
      <c r="C324" s="36" t="n"/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36" t="n"/>
      <c r="B325" s="36" t="n"/>
      <c r="C325" s="36" t="n"/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</sheetData>
  <mergeCells count="5">
    <mergeCell ref="A6:G6"/>
    <mergeCell ref="F1:G1"/>
    <mergeCell ref="E1:E4"/>
    <mergeCell ref="N1:N7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0000"/>
    <outlinePr summaryBelow="0" summaryRight="0"/>
    <pageSetUpPr/>
  </sheetPr>
  <dimension ref="A1:AO922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28" customWidth="1" style="52" min="4" max="4"/>
    <col width="23.63" customWidth="1" style="52" min="5" max="5"/>
    <col width="14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19" customWidth="1" style="52" min="12" max="12"/>
    <col width="27.88" customWidth="1" style="52" min="13" max="13"/>
  </cols>
  <sheetData>
    <row r="1">
      <c r="A1" s="2" t="inlineStr">
        <is>
          <t>Pay Runs — Non-Functional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37" t="n"/>
      <c r="N1" s="37" t="n"/>
      <c r="O1" s="37" t="n"/>
      <c r="P1" s="43" t="n"/>
      <c r="Q1" s="43" t="n"/>
      <c r="R1" s="43" t="n"/>
      <c r="S1" s="43" t="n"/>
      <c r="T1" s="43" t="n"/>
      <c r="U1" s="43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n"/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37" t="n"/>
      <c r="O2" s="37" t="n"/>
      <c r="P2" s="43" t="n"/>
      <c r="Q2" s="43" t="n"/>
      <c r="R2" s="43" t="n"/>
      <c r="S2" s="43" t="n"/>
      <c r="T2" s="43" t="n"/>
      <c r="U2" s="43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37" t="n"/>
      <c r="O3" s="37" t="n"/>
      <c r="P3" s="43" t="n"/>
      <c r="Q3" s="43" t="n"/>
      <c r="R3" s="43" t="n"/>
      <c r="S3" s="43" t="n"/>
      <c r="T3" s="43" t="n"/>
      <c r="U3" s="43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37" t="n"/>
      <c r="O4" s="37" t="n"/>
      <c r="P4" s="43" t="n"/>
      <c r="Q4" s="43" t="n"/>
      <c r="R4" s="43" t="n"/>
      <c r="S4" s="43" t="n"/>
      <c r="T4" s="43" t="n"/>
      <c r="U4" s="43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37" t="n"/>
      <c r="O5" s="37" t="n"/>
      <c r="P5" s="43" t="n"/>
      <c r="Q5" s="43" t="n"/>
      <c r="R5" s="43" t="n"/>
      <c r="S5" s="43" t="n"/>
      <c r="T5" s="43" t="n"/>
      <c r="U5" s="43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37" t="n"/>
      <c r="O6" s="37" t="n"/>
      <c r="P6" s="43" t="n"/>
      <c r="Q6" s="43" t="n"/>
      <c r="R6" s="43" t="n"/>
      <c r="S6" s="43" t="n"/>
      <c r="T6" s="43" t="n"/>
      <c r="U6" s="43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TEST CASE ID</t>
        </is>
      </c>
      <c r="B7" s="18" t="inlineStr">
        <is>
          <t>PERFORMANCE CRITERIA</t>
        </is>
      </c>
      <c r="C7" s="18" t="inlineStr">
        <is>
          <t>TEST SCENARIO</t>
        </is>
      </c>
      <c r="D7" s="27" t="inlineStr">
        <is>
          <t>EXPECTED PERFORMANCE</t>
        </is>
      </c>
      <c r="E7" s="27" t="inlineStr">
        <is>
          <t>ACTUAL PERFORMANCE</t>
        </is>
      </c>
      <c r="F7" s="18" t="inlineStr">
        <is>
          <t>DEVIATION</t>
        </is>
      </c>
      <c r="G7" s="18" t="inlineStr">
        <is>
          <t>COMMENTS</t>
        </is>
      </c>
      <c r="H7" s="37" t="n"/>
      <c r="O7" s="28" t="n"/>
      <c r="P7" s="43" t="n"/>
      <c r="Q7" s="43" t="n"/>
      <c r="R7" s="43" t="n"/>
      <c r="S7" s="43" t="n"/>
      <c r="T7" s="43" t="n"/>
      <c r="U7" s="43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36" t="inlineStr">
        <is>
          <t>PT01</t>
        </is>
      </c>
      <c r="B8" s="36" t="inlineStr">
        <is>
          <t>Response time &lt; 2 sec</t>
        </is>
      </c>
      <c r="C8" s="36" t="inlineStr">
        <is>
          <t>Load Testing</t>
        </is>
      </c>
      <c r="D8" s="36" t="inlineStr">
        <is>
          <t>Creating job roles should take &lt; 2 sec</t>
        </is>
      </c>
      <c r="E8" s="36" t="inlineStr">
        <is>
          <t>[Insert Observed Time]</t>
        </is>
      </c>
      <c r="F8" s="36" t="inlineStr">
        <is>
          <t>[Insert Deviation]</t>
        </is>
      </c>
      <c r="G8" s="36" t="inlineStr">
        <is>
          <t>[Insert Comments]</t>
        </is>
      </c>
      <c r="H8" s="37" t="n"/>
      <c r="M8" s="34" t="n"/>
      <c r="N8" s="34" t="n"/>
      <c r="O8" s="36" t="n"/>
      <c r="P8" s="43" t="n"/>
      <c r="Q8" s="43" t="n"/>
      <c r="R8" s="43" t="n"/>
      <c r="S8" s="43" t="n"/>
      <c r="T8" s="43" t="n"/>
      <c r="U8" s="43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A9" s="45" t="n"/>
      <c r="B9" s="45" t="n"/>
      <c r="C9" s="45" t="n"/>
      <c r="D9" s="45" t="n"/>
      <c r="E9" s="45" t="n"/>
      <c r="F9" s="45" t="n"/>
      <c r="G9" s="37" t="n"/>
      <c r="H9" s="37" t="n"/>
      <c r="M9" s="36" t="n"/>
      <c r="N9" s="36" t="n"/>
      <c r="O9" s="36" t="n"/>
      <c r="P9" s="43" t="n"/>
      <c r="Q9" s="43" t="n"/>
      <c r="R9" s="43" t="n"/>
      <c r="S9" s="43" t="n"/>
      <c r="T9" s="43" t="n"/>
      <c r="U9" s="43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A10" s="45" t="n"/>
      <c r="B10" s="45" t="n"/>
      <c r="C10" s="45" t="n"/>
      <c r="D10" s="45" t="n"/>
      <c r="E10" s="45" t="n"/>
      <c r="F10" s="45" t="n"/>
      <c r="G10" s="37" t="n"/>
      <c r="H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</row>
    <row r="11">
      <c r="A11" s="45" t="n"/>
      <c r="B11" s="45" t="n"/>
      <c r="C11" s="45" t="n"/>
      <c r="D11" s="45" t="n"/>
      <c r="E11" s="45" t="n"/>
      <c r="F11" s="45" t="n"/>
      <c r="G11" s="37" t="n"/>
      <c r="H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</row>
    <row r="12">
      <c r="A12" s="45" t="n"/>
      <c r="B12" s="45" t="n"/>
      <c r="C12" s="45" t="n"/>
      <c r="D12" s="45" t="n"/>
      <c r="E12" s="45" t="n"/>
      <c r="F12" s="45" t="n"/>
      <c r="G12" s="37" t="n"/>
      <c r="H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</row>
    <row r="13">
      <c r="A13" s="36" t="n"/>
      <c r="B13" s="36" t="n"/>
      <c r="C13" s="36" t="n"/>
      <c r="D13" s="46" t="n"/>
      <c r="G13" s="36" t="n"/>
      <c r="H13" s="37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A14" s="36" t="n"/>
      <c r="B14" s="36" t="n"/>
      <c r="C14" s="36" t="n"/>
      <c r="D14" s="46" t="n"/>
      <c r="G14" s="36" t="n"/>
      <c r="H14" s="37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</row>
    <row r="15">
      <c r="A15" s="47" t="n"/>
      <c r="B15" s="47" t="n"/>
      <c r="C15" s="47" t="n"/>
      <c r="D15" s="47" t="n"/>
      <c r="G15" s="47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</row>
    <row r="16">
      <c r="A16" s="36" t="n"/>
      <c r="B16" s="36" t="n"/>
      <c r="C16" s="36" t="n"/>
      <c r="D16" s="4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</row>
    <row r="17">
      <c r="A17" s="36" t="n"/>
      <c r="B17" s="36" t="n"/>
      <c r="C17" s="36" t="n"/>
      <c r="D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</row>
    <row r="18">
      <c r="A18" s="36" t="n"/>
      <c r="B18" s="36" t="n"/>
      <c r="C18" s="36" t="n"/>
      <c r="D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36" t="n"/>
      <c r="B19" s="36" t="n"/>
      <c r="C19" s="36" t="n"/>
      <c r="D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 ht="48.75" customHeight="1" s="52">
      <c r="A26" s="16" t="inlineStr">
        <is>
          <t>TEST ENVIRONMENT: [SBX] / [ BETA ] / [ PROD ]
TEST TYPE: SECURITY TESTING</t>
        </is>
      </c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18" t="inlineStr">
        <is>
          <t>TEST CASE ID</t>
        </is>
      </c>
      <c r="B27" s="18" t="inlineStr">
        <is>
          <t>SECURITY ASPECT TESTED</t>
        </is>
      </c>
      <c r="C27" s="18" t="inlineStr">
        <is>
          <t>VULNERABILITY FOUND</t>
        </is>
      </c>
      <c r="D27" s="27" t="inlineStr">
        <is>
          <t>RISK LEVEL</t>
        </is>
      </c>
      <c r="E27" s="48" t="n"/>
      <c r="F27" s="49" t="n"/>
      <c r="G27" s="49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51" t="inlineStr">
        <is>
          <t>ST01</t>
        </is>
      </c>
      <c r="B28" s="51" t="inlineStr">
        <is>
          <t>Data Integrity</t>
        </is>
      </c>
      <c r="C28" s="51" t="inlineStr">
        <is>
          <t>No issues</t>
        </is>
      </c>
      <c r="D28" s="51" t="inlineStr">
        <is>
          <t>Low</t>
        </is>
      </c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 ht="53.25" customHeight="1" s="52">
      <c r="A40" s="16" t="inlineStr">
        <is>
          <t>TEST ENVIRONMENT: [SBX] / [ BETA ] / [ PROD ]
TEST TYPE: USABILITY TESTING</t>
        </is>
      </c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18" t="inlineStr">
        <is>
          <t>TEST CASE ID</t>
        </is>
      </c>
      <c r="B41" s="18" t="inlineStr">
        <is>
          <t>USERABILITY CRITERIA</t>
        </is>
      </c>
      <c r="C41" s="18" t="inlineStr">
        <is>
          <t>USER TEST FEEDBACK</t>
        </is>
      </c>
      <c r="D41" s="48" t="n"/>
      <c r="E41" s="48" t="n"/>
      <c r="F41" s="49" t="n"/>
      <c r="G41" s="49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51" t="inlineStr">
        <is>
          <t>UT01</t>
        </is>
      </c>
      <c r="B42" s="51" t="inlineStr">
        <is>
          <t>Ease of use</t>
        </is>
      </c>
      <c r="C42" s="51" t="inlineStr">
        <is>
          <t>Positive feedback from HR team</t>
        </is>
      </c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51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 ht="48.75" customHeight="1" s="52">
      <c r="A51" s="16" t="inlineStr">
        <is>
          <t>TEST ENVIRONMENT: [SBX] / [ BETA ] / [ PROD ]
TEST TYPE: COMPATIBILITY TESTING</t>
        </is>
      </c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18" t="inlineStr">
        <is>
          <t>TEST CASE ID</t>
        </is>
      </c>
      <c r="B52" s="18" t="inlineStr">
        <is>
          <t>PLATFORM TESTED</t>
        </is>
      </c>
      <c r="C52" s="18" t="inlineStr">
        <is>
          <t>COMPATIBILITY ISSUES</t>
        </is>
      </c>
      <c r="D52" s="48" t="n"/>
      <c r="E52" s="48" t="n"/>
      <c r="F52" s="49" t="n"/>
      <c r="G52" s="49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51" t="inlineStr">
        <is>
          <t>CT01</t>
        </is>
      </c>
      <c r="B53" s="51" t="inlineStr">
        <is>
          <t>Windows, macOS</t>
        </is>
      </c>
      <c r="C53" s="51" t="inlineStr">
        <is>
          <t>None</t>
        </is>
      </c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46" t="n"/>
      <c r="B288" s="46" t="n"/>
      <c r="C288" s="46" t="n"/>
      <c r="D288" s="4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4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4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4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4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36" t="n"/>
      <c r="B293" s="36" t="n"/>
      <c r="C293" s="3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18" t="inlineStr">
        <is>
          <t>General Observation:</t>
        </is>
      </c>
      <c r="B315" s="36" t="n"/>
      <c r="C315" s="18" t="inlineStr">
        <is>
          <t>LOGIN:</t>
        </is>
      </c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42" t="inlineStr">
        <is>
          <t>1. Login error issues - Resolved</t>
        </is>
      </c>
      <c r="B316" s="36" t="n"/>
      <c r="C316" s="42" t="inlineStr">
        <is>
          <t>Phone Version           Average Loading Time (Login)</t>
        </is>
      </c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42" t="inlineStr">
        <is>
          <t>2. Assign Users to Hub Issues - Resolved</t>
        </is>
      </c>
      <c r="B317" s="36" t="n"/>
      <c r="C317" s="42" t="inlineStr">
        <is>
          <t>Android 10                 ( keeps loading- unable to login )</t>
        </is>
      </c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42" t="inlineStr">
        <is>
          <t>3. Apk version for Android version 10- Pending</t>
        </is>
      </c>
      <c r="B318" s="36" t="n"/>
      <c r="C318" s="42" t="inlineStr">
        <is>
          <t>Android 11                  ( 2 mins )</t>
        </is>
      </c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42" t="inlineStr">
        <is>
          <t>4. "Automatic Login into a Hub" issue after installation on QA phone (Android v 14) - Pending</t>
        </is>
      </c>
      <c r="B319" s="36" t="n"/>
      <c r="C319" s="42" t="inlineStr">
        <is>
          <t>Android 13                 ( 40 secs )</t>
        </is>
      </c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42" t="inlineStr">
        <is>
          <t>* (Couldn't replicate issue on another Android v. 14 )</t>
        </is>
      </c>
      <c r="B320" s="36" t="n"/>
      <c r="C320" s="42" t="inlineStr">
        <is>
          <t>Android 14                 ( 40s )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36" t="n"/>
      <c r="B321" s="36" t="n"/>
      <c r="C321" s="36" t="n"/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36" t="n"/>
      <c r="B322" s="36" t="n"/>
      <c r="C322" s="36" t="n"/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36" t="n"/>
      <c r="B323" s="36" t="n"/>
      <c r="C323" s="36" t="n"/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36" t="n"/>
      <c r="B324" s="36" t="n"/>
      <c r="C324" s="36" t="n"/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36" t="n"/>
      <c r="B325" s="36" t="n"/>
      <c r="C325" s="36" t="n"/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</sheetData>
  <mergeCells count="8">
    <mergeCell ref="A40:G40"/>
    <mergeCell ref="A6:G6"/>
    <mergeCell ref="A26:G26"/>
    <mergeCell ref="F1:G1"/>
    <mergeCell ref="E1:E4"/>
    <mergeCell ref="A51:G51"/>
    <mergeCell ref="N1:N7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2026-07-01T09:48:34Z</dcterms:created>
  <dcterms:modified xsi:type="dcterms:W3CDTF">2026-07-01T09:48:35Z</dcterms:modified>
</cp:coreProperties>
</file>