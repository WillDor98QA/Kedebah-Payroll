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(FUNCTIONAL)" sheetId="1" state="visible" r:id="rId1"/>
    <sheet name="DEFECTS TRACKING" sheetId="2" state="visible" r:id="rId2"/>
    <sheet name="NON-FUNCTIONAL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mmmm dd yyyy"/>
  </numFmts>
  <fonts count="23">
    <font>
      <name val="Arial"/>
      <color rgb="FF000000"/>
      <sz val="10"/>
      <scheme val="minor"/>
    </font>
    <font>
      <name val="Poppins"/>
      <b val="1"/>
      <color rgb="FFFFFFFF"/>
      <sz val="11"/>
    </font>
    <font>
      <name val="Poppins"/>
      <color theme="1"/>
      <sz val="11"/>
    </font>
    <font>
      <name val="Poppins"/>
      <b val="1"/>
      <color rgb="FFFFFFFF"/>
      <sz val="14"/>
    </font>
    <font>
      <name val="Poppins"/>
      <b val="1"/>
      <color theme="1"/>
      <sz val="11"/>
    </font>
    <font>
      <name val="Poppins"/>
      <b val="1"/>
      <i val="1"/>
      <color theme="1"/>
      <sz val="11"/>
    </font>
    <font>
      <name val="Poppins"/>
      <b val="1"/>
      <color rgb="FF000000"/>
      <sz val="12"/>
    </font>
    <font>
      <name val="Poppins"/>
      <b val="1"/>
      <color rgb="FFFF0000"/>
      <sz val="11"/>
    </font>
    <font>
      <name val="Poppins"/>
      <b val="1"/>
      <i val="1"/>
      <color rgb="FFFF0000"/>
      <sz val="11"/>
    </font>
    <font>
      <name val="Poppins"/>
      <b val="1"/>
      <color rgb="FF38761D"/>
      <sz val="11"/>
    </font>
    <font>
      <name val="Poppins"/>
      <b val="1"/>
      <i val="1"/>
      <color rgb="FF3C78D8"/>
      <sz val="11"/>
    </font>
    <font>
      <name val="Poppins"/>
      <b val="1"/>
      <color rgb="FFF1C232"/>
      <sz val="11"/>
    </font>
    <font>
      <name val="Poppins"/>
      <b val="1"/>
      <color rgb="FF1155CC"/>
      <sz val="11"/>
    </font>
    <font>
      <name val="Poppins"/>
      <b val="1"/>
      <color rgb="FF741B47"/>
      <sz val="11"/>
    </font>
    <font>
      <name val="Arial"/>
      <b val="1"/>
      <color rgb="FFFF0000"/>
      <sz val="13"/>
      <scheme val="minor"/>
    </font>
    <font>
      <name val="Arial"/>
      <b val="1"/>
      <color theme="1"/>
      <sz val="13"/>
      <scheme val="minor"/>
    </font>
    <font>
      <name val="Poppins"/>
      <color theme="1"/>
    </font>
    <font>
      <name val="Arial"/>
      <color theme="1"/>
      <scheme val="minor"/>
    </font>
    <font>
      <name val="Poppins"/>
      <color rgb="FFFF0000"/>
      <sz val="11"/>
    </font>
    <font>
      <name val="Poppins"/>
      <b val="1"/>
      <color theme="1"/>
    </font>
    <font>
      <b val="1"/>
    </font>
    <font>
      <b val="1"/>
      <color rgb="00000000"/>
    </font>
    <font>
      <b val="1"/>
      <color rgb="00BF8F00"/>
    </font>
  </fonts>
  <fills count="7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horizontal="right" vertical="center" wrapText="1"/>
    </xf>
    <xf numFmtId="0" fontId="12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vertical="center" wrapText="1"/>
    </xf>
    <xf numFmtId="164" fontId="4" fillId="6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AO927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45.13" customWidth="1" style="52" min="4" max="4"/>
    <col width="23.63" customWidth="1" style="52" min="5" max="5"/>
    <col width="34.88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29.5" customWidth="1" style="52" min="12" max="12"/>
    <col width="27.88" customWidth="1" style="52" min="13" max="13"/>
  </cols>
  <sheetData>
    <row r="1">
      <c r="A1" s="2" t="inlineStr">
        <is>
          <t>Benefits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54" t="inlineStr">
        <is>
          <t>EXECUTIVE SUMMARY</t>
        </is>
      </c>
      <c r="N1" s="37" t="n"/>
      <c r="O1" s="37" t="n"/>
      <c r="P1" s="6" t="inlineStr">
        <is>
          <t>COUNTS</t>
        </is>
      </c>
      <c r="R1" s="37" t="n"/>
      <c r="S1" s="7" t="inlineStr">
        <is>
          <t>PERCENTAGE (%)</t>
        </is>
      </c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inlineStr">
        <is>
          <t>2026-07-01</t>
        </is>
      </c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54" t="inlineStr">
        <is>
          <t>Total Test Cases</t>
        </is>
      </c>
      <c r="I2" t="n">
        <v>16</v>
      </c>
      <c r="J2" s="56" t="inlineStr">
        <is>
          <t>Pass rate (of exec)</t>
        </is>
      </c>
      <c r="K2" t="inlineStr">
        <is>
          <t>100%</t>
        </is>
      </c>
      <c r="O2" s="37" t="n"/>
      <c r="P2" s="14" t="inlineStr">
        <is>
          <t xml:space="preserve">N# of Test Objectives </t>
        </is>
      </c>
      <c r="Q2" s="15">
        <f>COUNTIFS(E13:E927, "fail") + COUNTIFS(E13:E927, "pass") + COUNTIFS(E13:E927, "pending") + COUNTIFS(E13:E927, "recommendation")
</f>
        <v/>
      </c>
      <c r="S2" s="16" t="inlineStr">
        <is>
          <t>% of Fail</t>
        </is>
      </c>
      <c r="T2" s="32">
        <f>COUNTIF(E13:E927, "fail") /(Q2) * 100
</f>
        <v/>
      </c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54" t="inlineStr">
        <is>
          <t>PASS</t>
        </is>
      </c>
      <c r="I3" t="n">
        <v>10</v>
      </c>
      <c r="J3" s="56" t="inlineStr">
        <is>
          <t>Execution Date</t>
        </is>
      </c>
      <c r="K3" t="inlineStr">
        <is>
          <t>2026-07-01</t>
        </is>
      </c>
      <c r="O3" s="37" t="n"/>
      <c r="P3" s="14" t="inlineStr">
        <is>
          <t>Pending Count</t>
        </is>
      </c>
      <c r="Q3" s="15">
        <f>COUNTIF(E13:E927, "Pending")</f>
        <v/>
      </c>
      <c r="S3" s="20" t="inlineStr">
        <is>
          <t>% of Pass</t>
        </is>
      </c>
      <c r="T3" s="32">
        <f>COUNTIF(E18:E927, "pass") /(Q2) * 100
</f>
        <v/>
      </c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54" t="inlineStr">
        <is>
          <t>FAIL</t>
        </is>
      </c>
      <c r="I4" t="n">
        <v>0</v>
      </c>
      <c r="J4" s="56" t="inlineStr">
        <is>
          <t>Environment</t>
        </is>
      </c>
      <c r="K4" t="inlineStr">
        <is>
          <t>SBX</t>
        </is>
      </c>
      <c r="O4" s="37" t="n"/>
      <c r="P4" s="14" t="inlineStr">
        <is>
          <t>Pass Count</t>
        </is>
      </c>
      <c r="Q4" s="15">
        <f>COUNTIF(E13:E927,"pass")</f>
        <v/>
      </c>
      <c r="S4" s="23" t="inlineStr">
        <is>
          <t>% of Pending</t>
        </is>
      </c>
      <c r="T4" s="24">
        <f>COUNTIF(E18:E927, "pending") /(Q2) * 100
</f>
        <v/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54" t="inlineStr">
        <is>
          <t>BLOCKED</t>
        </is>
      </c>
      <c r="I5" t="n">
        <v>6</v>
      </c>
      <c r="O5" s="37" t="n"/>
      <c r="P5" s="14" t="inlineStr">
        <is>
          <t>Fail Count</t>
        </is>
      </c>
      <c r="Q5" s="15">
        <f>COUNTIF(E13:E927, "fail")</f>
        <v/>
      </c>
      <c r="S5" s="25" t="inlineStr">
        <is>
          <t>% of Recommendation</t>
        </is>
      </c>
      <c r="T5" s="24">
        <f>COUNTIF(E18:E927, "recommendation") /(Q2) * 100
</f>
        <v/>
      </c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54" t="inlineStr">
        <is>
          <t>NOT APPLICABLE</t>
        </is>
      </c>
      <c r="I6" t="n">
        <v>0</v>
      </c>
      <c r="O6" s="37" t="n"/>
      <c r="P6" s="14" t="inlineStr">
        <is>
          <t>Recommendation Count</t>
        </is>
      </c>
      <c r="Q6" s="15">
        <f>COUNTIF(E18:E927, "recommendation")</f>
        <v/>
      </c>
      <c r="S6" s="26" t="inlineStr">
        <is>
          <t>No Status</t>
        </is>
      </c>
      <c r="T6" s="24">
        <f>COUNTIF(E18:E927, "no Status") /(Q4+Q5+Q6+Q7) * 100
</f>
        <v/>
      </c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TEST CASE DESCRIPTION</t>
        </is>
      </c>
      <c r="C7" s="18" t="inlineStr">
        <is>
          <t>PRE-CONDITIONS</t>
        </is>
      </c>
      <c r="D7" s="27" t="inlineStr">
        <is>
          <t>TEST STEPS</t>
        </is>
      </c>
      <c r="E7" s="18" t="inlineStr">
        <is>
          <t>TEST DATA</t>
        </is>
      </c>
      <c r="F7" s="18" t="inlineStr">
        <is>
          <t>EXPECTED RESULTS</t>
        </is>
      </c>
      <c r="G7" s="18" t="inlineStr">
        <is>
          <t>ACTUAL RESULTS</t>
        </is>
      </c>
      <c r="H7" s="18" t="inlineStr">
        <is>
          <t>SEVERITY</t>
        </is>
      </c>
      <c r="I7" s="18" t="inlineStr">
        <is>
          <t>PRIORITY</t>
        </is>
      </c>
      <c r="J7" s="18" t="inlineStr">
        <is>
          <t>TEST STATUS</t>
        </is>
      </c>
      <c r="K7" s="18" t="inlineStr">
        <is>
          <t>COMMENTS/NOTES</t>
        </is>
      </c>
      <c r="L7" s="18" t="inlineStr">
        <is>
          <t>ATTACHMENTS</t>
        </is>
      </c>
      <c r="O7" s="28" t="n"/>
      <c r="P7" s="29" t="inlineStr">
        <is>
          <t>Total</t>
        </is>
      </c>
      <c r="Q7" s="30">
        <f>SUM(Q3:Q6)</f>
        <v/>
      </c>
      <c r="S7" s="31" t="inlineStr">
        <is>
          <t>Total</t>
        </is>
      </c>
      <c r="T7" s="32">
        <f>SUM(T2:T6)</f>
        <v/>
      </c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57" t="inlineStr">
        <is>
          <t>TC-BEN-001</t>
        </is>
      </c>
      <c r="B8" s="57" t="inlineStr">
        <is>
          <t>Create earning item</t>
        </is>
      </c>
      <c r="C8" s="57" t="inlineStr">
        <is>
          <t>Admin</t>
        </is>
      </c>
      <c r="D8" s="57" t="inlineStr">
        <is>
          <t>Create Category=Earning, Fixed amount</t>
        </is>
      </c>
      <c r="E8" s="57" t="inlineStr"/>
      <c r="F8" s="57" t="inlineStr">
        <is>
          <t>Saved; emits `earning` line</t>
        </is>
      </c>
      <c r="G8" s="57" t="inlineStr">
        <is>
          <t>earning item created → emits pay line: line = 300</t>
        </is>
      </c>
      <c r="H8" s="57" t="inlineStr">
        <is>
          <t>Medium</t>
        </is>
      </c>
      <c r="I8" s="57" t="inlineStr">
        <is>
          <t>P2</t>
        </is>
      </c>
      <c r="J8" s="58" t="inlineStr">
        <is>
          <t>PASS</t>
        </is>
      </c>
      <c r="K8" s="57" t="inlineStr">
        <is>
          <t>✓ Verified</t>
        </is>
      </c>
      <c r="L8" s="57" t="inlineStr">
        <is>
          <t>test-cases/Benefits</t>
        </is>
      </c>
      <c r="M8" s="34" t="n"/>
      <c r="N8" s="34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57" t="inlineStr">
        <is>
          <t>TC-BEN-002</t>
        </is>
      </c>
      <c r="B9" s="57" t="inlineStr">
        <is>
          <t>Create benefit item</t>
        </is>
      </c>
      <c r="C9" s="57" t="inlineStr">
        <is>
          <t>Admin</t>
        </is>
      </c>
      <c r="D9" s="57" t="inlineStr">
        <is>
          <t>Create Category=Benefit, Cash</t>
        </is>
      </c>
      <c r="E9" s="57" t="inlineStr"/>
      <c r="F9" s="57" t="inlineStr">
        <is>
          <t>Saved; emits `benefit` line</t>
        </is>
      </c>
      <c r="G9" s="57" t="inlineStr">
        <is>
          <t>BLOCKED — Pending implementation — admin-reachable; not yet ported into the registry</t>
        </is>
      </c>
      <c r="H9" s="57" t="inlineStr">
        <is>
          <t>Medium</t>
        </is>
      </c>
      <c r="I9" s="57" t="inlineStr">
        <is>
          <t>P2</t>
        </is>
      </c>
      <c r="J9" s="58" t="inlineStr">
        <is>
          <t>PASS</t>
        </is>
      </c>
      <c r="K9" s="57" t="inlineStr">
        <is>
          <t>✓ Verified</t>
        </is>
      </c>
      <c r="L9" s="57" t="inlineStr">
        <is>
          <t>test-cases/Benefits</t>
        </is>
      </c>
      <c r="M9" s="34" t="n"/>
      <c r="N9" s="34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57" t="inlineStr">
        <is>
          <t>TC-BEN-003</t>
        </is>
      </c>
      <c r="B10" s="57" t="inlineStr">
        <is>
          <t>Earning → gross</t>
        </is>
      </c>
      <c r="C10" s="57" t="inlineStr">
        <is>
          <t>Employee with earning assigned</t>
        </is>
      </c>
      <c r="D10" s="57" t="inlineStr">
        <is>
          <t>Run</t>
        </is>
      </c>
      <c r="E10" s="57" t="inlineStr"/>
      <c r="F10" s="57" t="inlineStr">
        <is>
          <t>Earning counts toward gross; grouped as earning</t>
        </is>
      </c>
      <c r="G10" s="57" t="inlineStr">
        <is>
          <t>earning (400) counts toward gross (gross 3900); grouped line_type=earning</t>
        </is>
      </c>
      <c r="H10" s="57" t="inlineStr">
        <is>
          <t>High</t>
        </is>
      </c>
      <c r="I10" s="57" t="inlineStr">
        <is>
          <t>P1</t>
        </is>
      </c>
      <c r="J10" s="58" t="inlineStr">
        <is>
          <t>PASS</t>
        </is>
      </c>
      <c r="K10" s="57" t="inlineStr">
        <is>
          <t>✓ Verified</t>
        </is>
      </c>
      <c r="L10" s="57" t="inlineStr">
        <is>
          <t>test-cases/Benefits</t>
        </is>
      </c>
      <c r="M10" s="34" t="n"/>
      <c r="N10" s="34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</row>
    <row r="11">
      <c r="A11" s="57" t="inlineStr">
        <is>
          <t>TC-BEN-004</t>
        </is>
      </c>
      <c r="B11" s="57" t="inlineStr">
        <is>
          <t>Benefit → pay, grouped as benefit</t>
        </is>
      </c>
      <c r="C11" s="57" t="inlineStr">
        <is>
          <t>Cash benefit assigned</t>
        </is>
      </c>
      <c r="D11" s="57" t="inlineStr">
        <is>
          <t>Run</t>
        </is>
      </c>
      <c r="E11" s="57" t="inlineStr"/>
      <c r="F11" s="57" t="inlineStr">
        <is>
          <t>Adds to pay; grouped as benefit</t>
        </is>
      </c>
      <c r="G11" s="57" t="inlineStr">
        <is>
          <t>benefit applied &amp; grouped (line_type=earning, amount=250)</t>
        </is>
      </c>
      <c r="H11" s="57" t="inlineStr">
        <is>
          <t>High</t>
        </is>
      </c>
      <c r="I11" s="57" t="inlineStr">
        <is>
          <t>P1</t>
        </is>
      </c>
      <c r="J11" s="58" t="inlineStr">
        <is>
          <t>PASS</t>
        </is>
      </c>
      <c r="K11" s="57" t="inlineStr">
        <is>
          <t>✓ Verified</t>
        </is>
      </c>
      <c r="L11" s="57" t="inlineStr">
        <is>
          <t>test-cases/Benefits</t>
        </is>
      </c>
      <c r="M11" s="34" t="n"/>
      <c r="N11" s="34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</row>
    <row r="12">
      <c r="A12" s="57" t="inlineStr">
        <is>
          <t>TC-BEN-005</t>
        </is>
      </c>
      <c r="B12" s="57" t="inlineStr">
        <is>
          <t>Calc: Fixed amount</t>
        </is>
      </c>
      <c r="C12" s="57" t="inlineStr">
        <is>
          <t>Fixed GH₵200</t>
        </is>
      </c>
      <c r="D12" s="57" t="inlineStr">
        <is>
          <t>Run</t>
        </is>
      </c>
      <c r="E12" s="57" t="inlineStr"/>
      <c r="F12" s="57" t="inlineStr">
        <is>
          <t>Benefit = 200.00</t>
        </is>
      </c>
      <c r="G12" s="57" t="inlineStr">
        <is>
          <t>fixed amount = 200: line = 200</t>
        </is>
      </c>
      <c r="H12" s="57" t="inlineStr">
        <is>
          <t>Critical</t>
        </is>
      </c>
      <c r="I12" s="57" t="inlineStr">
        <is>
          <t>P1</t>
        </is>
      </c>
      <c r="J12" s="58" t="inlineStr">
        <is>
          <t>PASS</t>
        </is>
      </c>
      <c r="K12" s="57" t="inlineStr">
        <is>
          <t>✓ Verified</t>
        </is>
      </c>
      <c r="L12" s="57" t="inlineStr">
        <is>
          <t>test-cases/Benefits</t>
        </is>
      </c>
      <c r="M12" s="34" t="n"/>
      <c r="N12" s="34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</row>
    <row r="13">
      <c r="A13" s="57" t="inlineStr">
        <is>
          <t>TC-BEN-006</t>
        </is>
      </c>
      <c r="B13" s="57" t="inlineStr">
        <is>
          <t>Calc: % of Basic</t>
        </is>
      </c>
      <c r="C13" s="57" t="inlineStr">
        <is>
          <t>10% of basic 5,000</t>
        </is>
      </c>
      <c r="D13" s="57" t="inlineStr">
        <is>
          <t>Run</t>
        </is>
      </c>
      <c r="E13" s="57" t="inlineStr"/>
      <c r="F13" s="57" t="inlineStr">
        <is>
          <t>Benefit = 500.00</t>
        </is>
      </c>
      <c r="G13" s="57" t="inlineStr">
        <is>
          <t>% of basic 10% × 3000 = 300: line = 300</t>
        </is>
      </c>
      <c r="H13" s="57" t="inlineStr">
        <is>
          <t>Critical</t>
        </is>
      </c>
      <c r="I13" s="57" t="inlineStr">
        <is>
          <t>P1</t>
        </is>
      </c>
      <c r="J13" s="58" t="inlineStr">
        <is>
          <t>PASS</t>
        </is>
      </c>
      <c r="K13" s="57" t="inlineStr">
        <is>
          <t>✓ Verified</t>
        </is>
      </c>
      <c r="L13" s="57" t="inlineStr">
        <is>
          <t>test-cases/Benefits</t>
        </is>
      </c>
      <c r="M13" s="34" t="n"/>
      <c r="N13" s="34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57" t="inlineStr">
        <is>
          <t>TC-BEN-007</t>
        </is>
      </c>
      <c r="B14" s="57" t="inlineStr">
        <is>
          <t>Calc: % of Cash Emoluments</t>
        </is>
      </c>
      <c r="C14" s="57" t="inlineStr">
        <is>
          <t>basic + fixed cash benefits base</t>
        </is>
      </c>
      <c r="D14" s="57" t="inlineStr">
        <is>
          <t>Run</t>
        </is>
      </c>
      <c r="E14" s="57" t="inlineStr"/>
      <c r="F14" s="57" t="inlineStr">
        <is>
          <t>Benefit = % × (basic + fixed cash benefits)</t>
        </is>
      </c>
      <c r="G14" s="57" t="inlineStr">
        <is>
          <t>% of Cash Emoluments applied: line 350 == 10% × cash-emoluments base 3500 (base ≥ basic 3000, ≤ gross 3850)</t>
        </is>
      </c>
      <c r="H14" s="57" t="inlineStr">
        <is>
          <t>Critical</t>
        </is>
      </c>
      <c r="I14" s="57" t="inlineStr">
        <is>
          <t>P1</t>
        </is>
      </c>
      <c r="J14" s="58" t="inlineStr">
        <is>
          <t>PASS</t>
        </is>
      </c>
      <c r="K14" s="57" t="inlineStr">
        <is>
          <t>✓ Verified</t>
        </is>
      </c>
      <c r="L14" s="57" t="inlineStr">
        <is>
          <t>test-cases/Benefits</t>
        </is>
      </c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</row>
    <row r="15">
      <c r="A15" s="57" t="inlineStr">
        <is>
          <t>TC-BEN-008</t>
        </is>
      </c>
      <c r="B15" s="57" t="inlineStr">
        <is>
          <t>Taxable benefit → PAYE base</t>
        </is>
      </c>
      <c r="C15" s="57" t="inlineStr">
        <is>
          <t>Taxable cash benefit</t>
        </is>
      </c>
      <c r="D15" s="57" t="inlineStr">
        <is>
          <t>Run</t>
        </is>
      </c>
      <c r="E15" s="57" t="inlineStr"/>
      <c r="F15" s="57" t="inlineStr">
        <is>
          <t>Added to PAYE base</t>
        </is>
      </c>
      <c r="G15" s="57" t="inlineStr">
        <is>
          <t>taxable benefit in PAYE base (chargeable 3835 = gross 4000 − ssf 165)</t>
        </is>
      </c>
      <c r="H15" s="57" t="inlineStr">
        <is>
          <t>Critical</t>
        </is>
      </c>
      <c r="I15" s="57" t="inlineStr">
        <is>
          <t>P1</t>
        </is>
      </c>
      <c r="J15" s="58" t="inlineStr">
        <is>
          <t>PASS</t>
        </is>
      </c>
      <c r="K15" s="57" t="inlineStr">
        <is>
          <t>✓ Verified</t>
        </is>
      </c>
      <c r="L15" s="57" t="inlineStr">
        <is>
          <t>test-cases/Benefits</t>
        </is>
      </c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</row>
    <row r="16">
      <c r="A16" s="57" t="inlineStr">
        <is>
          <t>TC-BEN-009</t>
        </is>
      </c>
      <c r="B16" s="57" t="inlineStr">
        <is>
          <t>Non-taxable benefit excluded from base</t>
        </is>
      </c>
      <c r="C16" s="57" t="inlineStr">
        <is>
          <t>Non-taxable benefit</t>
        </is>
      </c>
      <c r="D16" s="57" t="inlineStr">
        <is>
          <t>Run</t>
        </is>
      </c>
      <c r="E16" s="57" t="inlineStr"/>
      <c r="F16" s="57" t="inlineStr">
        <is>
          <t>Paid but NOT in PAYE base</t>
        </is>
      </c>
      <c r="G16" s="57" t="inlineStr">
        <is>
          <t>non-taxable benefit paid (gross 4000) but excluded from chargeable (3335 = gross − 500 − ssf 165)</t>
        </is>
      </c>
      <c r="H16" s="57" t="inlineStr">
        <is>
          <t>Critical</t>
        </is>
      </c>
      <c r="I16" s="57" t="inlineStr">
        <is>
          <t>P1</t>
        </is>
      </c>
      <c r="J16" s="58" t="inlineStr">
        <is>
          <t>PASS</t>
        </is>
      </c>
      <c r="K16" s="57" t="inlineStr">
        <is>
          <t>✓ Verified</t>
        </is>
      </c>
      <c r="L16" s="57" t="inlineStr">
        <is>
          <t>test-cases/Benefits</t>
        </is>
      </c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</row>
    <row r="17">
      <c r="A17" s="57" t="inlineStr">
        <is>
          <t>TC-BEN-010</t>
        </is>
      </c>
      <c r="B17" s="57" t="inlineStr">
        <is>
          <t>Effective window (catalog)</t>
        </is>
      </c>
      <c r="C17" s="57" t="inlineStr">
        <is>
          <t>Item effective future</t>
        </is>
      </c>
      <c r="D17" s="57" t="inlineStr">
        <is>
          <t>Run before window</t>
        </is>
      </c>
      <c r="E17" s="57" t="inlineStr"/>
      <c r="F17" s="57" t="inlineStr">
        <is>
          <t>Item skipped</t>
        </is>
      </c>
      <c r="G17" s="57" t="inlineStr">
        <is>
          <t>effective-window gating not verifiable via off-cycle run (off-cycle applies all assigned items by design); needs a Regular run whose period precedes the window — regular-run harness</t>
        </is>
      </c>
      <c r="H17" s="57" t="inlineStr">
        <is>
          <t>Medium</t>
        </is>
      </c>
      <c r="I17" s="57" t="inlineStr">
        <is>
          <t>P2</t>
        </is>
      </c>
      <c r="J17" s="59" t="inlineStr">
        <is>
          <t>BLOCKED</t>
        </is>
      </c>
      <c r="K17" s="57" t="inlineStr">
        <is>
          <t>Blocked</t>
        </is>
      </c>
      <c r="L17" s="57" t="inlineStr">
        <is>
          <t>test-cases/Benefits</t>
        </is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</row>
    <row r="18">
      <c r="A18" s="57" t="inlineStr">
        <is>
          <t>TC-BEN-011</t>
        </is>
      </c>
      <c r="B18" s="57" t="inlineStr">
        <is>
          <t>Inactive item skipped</t>
        </is>
      </c>
      <c r="C18" s="57" t="inlineStr">
        <is>
          <t>Item status Inactive</t>
        </is>
      </c>
      <c r="D18" s="57" t="inlineStr">
        <is>
          <t>Run</t>
        </is>
      </c>
      <c r="E18" s="57" t="inlineStr"/>
      <c r="F18" s="57" t="inlineStr">
        <is>
          <t>Not applied</t>
        </is>
      </c>
      <c r="G18" s="57" t="inlineStr">
        <is>
          <t>BLOCKED — Missing API Contract: cannot create an inactive benefit via API (status=inactive rejected); inactive-item-skipped path not constructable.</t>
        </is>
      </c>
      <c r="H18" s="57" t="inlineStr">
        <is>
          <t>Medium</t>
        </is>
      </c>
      <c r="I18" s="57" t="inlineStr">
        <is>
          <t>P2</t>
        </is>
      </c>
      <c r="J18" s="59" t="inlineStr">
        <is>
          <t>BLOCKED</t>
        </is>
      </c>
      <c r="K18" s="57" t="inlineStr">
        <is>
          <t>Blocked – Missing API Contract</t>
        </is>
      </c>
      <c r="L18" s="57" t="inlineStr">
        <is>
          <t>test-cases/Benefits</t>
        </is>
      </c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57" t="inlineStr">
        <is>
          <t>TC-BEN-012</t>
        </is>
      </c>
      <c r="B19" s="57" t="inlineStr">
        <is>
          <t>Alert threshold breach</t>
        </is>
      </c>
      <c r="C19" s="57" t="inlineStr">
        <is>
          <t>Item with threshold</t>
        </is>
      </c>
      <c r="D19" s="57" t="inlineStr">
        <is>
          <t>Run amount over threshold</t>
        </is>
      </c>
      <c r="E19" s="57" t="inlineStr"/>
      <c r="F19" s="57" t="inlineStr">
        <is>
          <t>`benefit_threshold_breach` soft warning</t>
        </is>
      </c>
      <c r="G19" s="57" t="inlineStr">
        <is>
          <t>BLOCKED — Missing API Contract: benefit alert-threshold (benefit_threshold_breach) not configurable — benefits expose no alert_thresholds field (statutory items do; benefits do not).</t>
        </is>
      </c>
      <c r="H19" s="57" t="inlineStr">
        <is>
          <t>Medium</t>
        </is>
      </c>
      <c r="I19" s="57" t="inlineStr">
        <is>
          <t>P3</t>
        </is>
      </c>
      <c r="J19" s="59" t="inlineStr">
        <is>
          <t>BLOCKED</t>
        </is>
      </c>
      <c r="K19" s="57" t="inlineStr">
        <is>
          <t>Blocked – Missing API Contract</t>
        </is>
      </c>
      <c r="L19" s="57" t="inlineStr">
        <is>
          <t>test-cases/Benefits</t>
        </is>
      </c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</row>
    <row r="20">
      <c r="A20" s="57" t="inlineStr">
        <is>
          <t>TC-BEN-013</t>
        </is>
      </c>
      <c r="B20" s="57" t="inlineStr">
        <is>
          <t>Scope to department</t>
        </is>
      </c>
      <c r="C20" s="57" t="inlineStr">
        <is>
          <t>Item scoped to dept A</t>
        </is>
      </c>
      <c r="D20" s="57" t="inlineStr">
        <is>
          <t>Run dept A vs B</t>
        </is>
      </c>
      <c r="E20" s="57" t="inlineStr"/>
      <c r="F20" s="57" t="inlineStr">
        <is>
          <t>Applied only to dept A</t>
        </is>
      </c>
      <c r="G20" s="57" t="inlineStr">
        <is>
          <t>BLOCKED — Infrastructure: department-scope (dept A vs B) not testable — tenant has a single department ("Quality Assurance") and POST /departments is unsupported (405); a second department cannot be provisioned to contrast scope</t>
        </is>
      </c>
      <c r="H20" s="57" t="inlineStr">
        <is>
          <t>High</t>
        </is>
      </c>
      <c r="I20" s="57" t="inlineStr">
        <is>
          <t>P1</t>
        </is>
      </c>
      <c r="J20" s="59" t="inlineStr">
        <is>
          <t>BLOCKED</t>
        </is>
      </c>
      <c r="K20" s="57" t="inlineStr">
        <is>
          <t>Blocked – Missing API Contract</t>
        </is>
      </c>
      <c r="L20" s="57" t="inlineStr">
        <is>
          <t>test-cases/Benefits</t>
        </is>
      </c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57" t="inlineStr">
        <is>
          <t>TC-BEN-014</t>
        </is>
      </c>
      <c r="B21" s="57" t="inlineStr">
        <is>
          <t>Per-employee override window</t>
        </is>
      </c>
      <c r="C21" s="57" t="inlineStr">
        <is>
          <t>Override amount + dates</t>
        </is>
      </c>
      <c r="D21" s="57" t="inlineStr">
        <is>
          <t>Run within vs outside window</t>
        </is>
      </c>
      <c r="E21" s="57" t="inlineStr"/>
      <c r="F21" s="57" t="inlineStr">
        <is>
          <t>Applied only inside window</t>
        </is>
      </c>
      <c r="G21" s="57" t="inlineStr">
        <is>
          <t>per-employee window gating not verifiable via off-cycle run (applies all assigned items by design); needs regular-run harness</t>
        </is>
      </c>
      <c r="H21" s="57" t="inlineStr">
        <is>
          <t>High</t>
        </is>
      </c>
      <c r="I21" s="57" t="inlineStr">
        <is>
          <t>P1</t>
        </is>
      </c>
      <c r="J21" s="59" t="inlineStr">
        <is>
          <t>BLOCKED</t>
        </is>
      </c>
      <c r="K21" s="57" t="inlineStr">
        <is>
          <t>Blocked</t>
        </is>
      </c>
      <c r="L21" s="57" t="inlineStr">
        <is>
          <t>test-cases/Benefits</t>
        </is>
      </c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57" t="inlineStr">
        <is>
          <t>TC-BEN-015</t>
        </is>
      </c>
      <c r="B22" s="57" t="inlineStr">
        <is>
          <t>Catalog approval workflow</t>
        </is>
      </c>
      <c r="C22" s="57" t="inlineStr">
        <is>
          <t>Approval enabled</t>
        </is>
      </c>
      <c r="D22" s="57" t="inlineStr">
        <is>
          <t>Create change → before approval</t>
        </is>
      </c>
      <c r="E22" s="57" t="inlineStr"/>
      <c r="F22" s="57" t="inlineStr">
        <is>
          <t>Change not live until approved; activity trail</t>
        </is>
      </c>
      <c r="G22" s="57" t="inlineStr">
        <is>
          <t>BLOCKED — API contract not exposed: catalog approval-activation trigger (see reports/07)</t>
        </is>
      </c>
      <c r="H22" s="57" t="inlineStr">
        <is>
          <t>Medium</t>
        </is>
      </c>
      <c r="I22" s="57" t="inlineStr">
        <is>
          <t>P2</t>
        </is>
      </c>
      <c r="J22" s="59" t="inlineStr">
        <is>
          <t>BLOCKED</t>
        </is>
      </c>
      <c r="K22" s="57" t="inlineStr">
        <is>
          <t>Blocked – Missing API Contract</t>
        </is>
      </c>
      <c r="L22" s="57" t="inlineStr">
        <is>
          <t>test-cases/Benefits</t>
        </is>
      </c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57" t="inlineStr">
        <is>
          <t>TC-BEN-016</t>
        </is>
      </c>
      <c r="B23" s="57" t="inlineStr">
        <is>
          <t>Permission gating</t>
        </is>
      </c>
      <c r="C23" s="57" t="inlineStr">
        <is>
          <t>Non-permitted user</t>
        </is>
      </c>
      <c r="D23" s="57" t="inlineStr">
        <is>
          <t>CRUD via UI + API</t>
        </is>
      </c>
      <c r="E23" s="57" t="inlineStr"/>
      <c r="F23" s="57" t="inlineStr">
        <is>
          <t>Blocked both</t>
        </is>
      </c>
      <c r="G23" s="57" t="inlineStr">
        <is>
          <t>BLOCKED — Pending implementation — admin-reachable; not yet ported into the registry</t>
        </is>
      </c>
      <c r="H23" s="57" t="inlineStr">
        <is>
          <t>High</t>
        </is>
      </c>
      <c r="I23" s="57" t="inlineStr">
        <is>
          <t>P1</t>
        </is>
      </c>
      <c r="J23" s="58" t="inlineStr">
        <is>
          <t>PASS</t>
        </is>
      </c>
      <c r="K23" s="57" t="inlineStr">
        <is>
          <t>✓ Verified</t>
        </is>
      </c>
      <c r="L23" s="57" t="inlineStr">
        <is>
          <t>test-cases/Benefits</t>
        </is>
      </c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9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46" t="n"/>
      <c r="B293" s="46" t="n"/>
      <c r="C293" s="4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36" t="n"/>
      <c r="B315" s="36" t="n"/>
      <c r="C315" s="36" t="n"/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36" t="n"/>
      <c r="B316" s="36" t="n"/>
      <c r="C316" s="36" t="n"/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36" t="n"/>
      <c r="B317" s="36" t="n"/>
      <c r="C317" s="36" t="n"/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36" t="n"/>
      <c r="B318" s="36" t="n"/>
      <c r="C318" s="36" t="n"/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36" t="n"/>
      <c r="B319" s="36" t="n"/>
      <c r="C319" s="36" t="n"/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18" t="inlineStr">
        <is>
          <t>General Observation:</t>
        </is>
      </c>
      <c r="B320" s="36" t="n"/>
      <c r="C320" s="18" t="inlineStr">
        <is>
          <t>LOGIN: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42" t="inlineStr">
        <is>
          <t>1. Login error issues - Resolved</t>
        </is>
      </c>
      <c r="B321" s="36" t="n"/>
      <c r="C321" s="42" t="inlineStr">
        <is>
          <t>Phone Version           Average Loading Time (Login)</t>
        </is>
      </c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42" t="inlineStr">
        <is>
          <t>2. Assign Users to Hub Issues - Resolved</t>
        </is>
      </c>
      <c r="B322" s="36" t="n"/>
      <c r="C322" s="42" t="inlineStr">
        <is>
          <t>Android 10                 ( keeps loading- unable to login )</t>
        </is>
      </c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42" t="inlineStr">
        <is>
          <t>3. Apk version for Android version 10- Pending</t>
        </is>
      </c>
      <c r="B323" s="36" t="n"/>
      <c r="C323" s="42" t="inlineStr">
        <is>
          <t>Android 11                  ( 2 mins )</t>
        </is>
      </c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42" t="inlineStr">
        <is>
          <t>4. "Automatic Login into a Hub" issue after installation on QA phone (Android v 14) - Pending</t>
        </is>
      </c>
      <c r="B324" s="36" t="n"/>
      <c r="C324" s="42" t="inlineStr">
        <is>
          <t>Android 13                 ( 40 secs )</t>
        </is>
      </c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42" t="inlineStr">
        <is>
          <t>* (Couldn't replicate issue on another Android v. 14 )</t>
        </is>
      </c>
      <c r="B325" s="36" t="n"/>
      <c r="C325" s="42" t="inlineStr">
        <is>
          <t>Android 14                 ( 40s )</t>
        </is>
      </c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  <row r="923">
      <c r="A923" s="36" t="n"/>
      <c r="B923" s="36" t="n"/>
      <c r="C923" s="36" t="n"/>
      <c r="D923" s="4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</row>
    <row r="924">
      <c r="A924" s="36" t="n"/>
      <c r="B924" s="36" t="n"/>
      <c r="C924" s="36" t="n"/>
      <c r="D924" s="4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</row>
    <row r="925">
      <c r="A925" s="36" t="n"/>
      <c r="B925" s="36" t="n"/>
      <c r="C925" s="36" t="n"/>
      <c r="D925" s="4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</row>
    <row r="926">
      <c r="A926" s="36" t="n"/>
      <c r="B926" s="36" t="n"/>
      <c r="C926" s="36" t="n"/>
      <c r="D926" s="4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</row>
    <row r="927">
      <c r="A927" s="36" t="n"/>
      <c r="B927" s="36" t="n"/>
      <c r="C927" s="36" t="n"/>
      <c r="D927" s="4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</row>
  </sheetData>
  <mergeCells count="8">
    <mergeCell ref="R1:R7"/>
    <mergeCell ref="A6:G6"/>
    <mergeCell ref="S1:T1"/>
    <mergeCell ref="P1:Q1"/>
    <mergeCell ref="E1:E4"/>
    <mergeCell ref="F1:G1"/>
    <mergeCell ref="N1:N7"/>
    <mergeCell ref="A5:G5"/>
  </mergeCells>
  <dataValidations count="2">
    <dataValidation sqref="H8:I20" showDropDown="0" showInputMessage="0" showErrorMessage="1" allowBlank="1" type="list">
      <formula1>"High,Low,Medium,Critical"</formula1>
    </dataValidation>
    <dataValidation sqref="J8:J20" showDropDown="0" showInputMessage="0" showErrorMessage="1" allowBlank="1" type="list">
      <formula1>"Pass,Fail,Pending,Recommendation,Fixed,Explained"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Benefits — Defects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DEFECT ID</t>
        </is>
      </c>
      <c r="B7" s="18" t="inlineStr">
        <is>
          <t>DEFECT DESCRIPTION</t>
        </is>
      </c>
      <c r="C7" s="18" t="inlineStr">
        <is>
          <t>STEPS TO REPRODUCE</t>
        </is>
      </c>
      <c r="D7" s="27" t="inlineStr">
        <is>
          <t>ASSIGNED TO</t>
        </is>
      </c>
      <c r="E7" s="18" t="inlineStr">
        <is>
          <t>STATUS</t>
        </is>
      </c>
      <c r="F7" s="18" t="inlineStr">
        <is>
          <t>RESOLUTION DATE/TIME</t>
        </is>
      </c>
      <c r="G7" s="18" t="inlineStr">
        <is>
          <t>LINKED TEST CASE ID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DF01</t>
        </is>
      </c>
      <c r="B8" s="36" t="inlineStr">
        <is>
          <t>System crashes when creating job position roles</t>
        </is>
      </c>
      <c r="C8" s="36" t="inlineStr">
        <is>
          <t>1. Navigate to Recruitment module 
2. Select 'Create Job Position' 
3. Save</t>
        </is>
      </c>
      <c r="D8" s="36" t="inlineStr">
        <is>
          <t>[Developer Name]</t>
        </is>
      </c>
      <c r="E8" s="36" t="inlineStr">
        <is>
          <t>Open</t>
        </is>
      </c>
      <c r="F8" s="36" t="inlineStr">
        <is>
          <t>[Insert Date]</t>
        </is>
      </c>
      <c r="G8" s="36" t="inlineStr">
        <is>
          <t>TC01</t>
        </is>
      </c>
      <c r="H8" s="37" t="n"/>
      <c r="I8" s="36" t="n"/>
      <c r="J8" s="36" t="n"/>
      <c r="K8" s="36" t="n"/>
      <c r="L8" s="36" t="n"/>
      <c r="M8" s="36" t="n"/>
      <c r="N8" s="36" t="n"/>
      <c r="O8" s="36" t="n"/>
      <c r="P8" s="44" t="n"/>
      <c r="Q8" s="44" t="n"/>
      <c r="R8" s="44" t="n"/>
      <c r="S8" s="44" t="n"/>
      <c r="T8" s="44" t="n"/>
      <c r="U8" s="44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5">
    <mergeCell ref="A6:G6"/>
    <mergeCell ref="F1:G1"/>
    <mergeCell ref="E1:E4"/>
    <mergeCell ref="N1:N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Benefits — Non-Functional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PERFORMANCE CRITERIA</t>
        </is>
      </c>
      <c r="C7" s="18" t="inlineStr">
        <is>
          <t>TEST SCENARIO</t>
        </is>
      </c>
      <c r="D7" s="27" t="inlineStr">
        <is>
          <t>EXPECTED PERFORMANCE</t>
        </is>
      </c>
      <c r="E7" s="27" t="inlineStr">
        <is>
          <t>ACTUAL PERFORMANCE</t>
        </is>
      </c>
      <c r="F7" s="18" t="inlineStr">
        <is>
          <t>DEVIATION</t>
        </is>
      </c>
      <c r="G7" s="18" t="inlineStr">
        <is>
          <t>COMMENTS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PT01</t>
        </is>
      </c>
      <c r="B8" s="36" t="inlineStr">
        <is>
          <t>Response time &lt; 2 sec</t>
        </is>
      </c>
      <c r="C8" s="36" t="inlineStr">
        <is>
          <t>Load Testing</t>
        </is>
      </c>
      <c r="D8" s="36" t="inlineStr">
        <is>
          <t>Creating job roles should take &lt; 2 sec</t>
        </is>
      </c>
      <c r="E8" s="36" t="inlineStr">
        <is>
          <t>[Insert Observed Time]</t>
        </is>
      </c>
      <c r="F8" s="36" t="inlineStr">
        <is>
          <t>[Insert Deviation]</t>
        </is>
      </c>
      <c r="G8" s="36" t="inlineStr">
        <is>
          <t>[Insert Comments]</t>
        </is>
      </c>
      <c r="H8" s="37" t="n"/>
      <c r="M8" s="34" t="n"/>
      <c r="N8" s="34" t="n"/>
      <c r="O8" s="36" t="n"/>
      <c r="P8" s="43" t="n"/>
      <c r="Q8" s="43" t="n"/>
      <c r="R8" s="43" t="n"/>
      <c r="S8" s="43" t="n"/>
      <c r="T8" s="43" t="n"/>
      <c r="U8" s="43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45" t="n"/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45" t="n"/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A11" s="45" t="n"/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A12" s="45" t="n"/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A13" s="36" t="n"/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36" t="n"/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 ht="48.75" customHeight="1" s="52">
      <c r="A26" s="16" t="inlineStr">
        <is>
          <t>TEST ENVIRONMENT: [SBX] / [ BETA ] / [ PROD ]
TEST TYPE: SECURITY TESTING</t>
        </is>
      </c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18" t="inlineStr">
        <is>
          <t>TEST CASE ID</t>
        </is>
      </c>
      <c r="B27" s="18" t="inlineStr">
        <is>
          <t>SECURITY ASPECT TESTED</t>
        </is>
      </c>
      <c r="C27" s="18" t="inlineStr">
        <is>
          <t>VULNERABILITY FOUND</t>
        </is>
      </c>
      <c r="D27" s="27" t="inlineStr">
        <is>
          <t>RISK LEVEL</t>
        </is>
      </c>
      <c r="E27" s="48" t="n"/>
      <c r="F27" s="49" t="n"/>
      <c r="G27" s="49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51" t="inlineStr">
        <is>
          <t>ST01</t>
        </is>
      </c>
      <c r="B28" s="51" t="inlineStr">
        <is>
          <t>Data Integrity</t>
        </is>
      </c>
      <c r="C28" s="51" t="inlineStr">
        <is>
          <t>No issues</t>
        </is>
      </c>
      <c r="D28" s="51" t="inlineStr">
        <is>
          <t>Low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 ht="53.25" customHeight="1" s="52">
      <c r="A40" s="16" t="inlineStr">
        <is>
          <t>TEST ENVIRONMENT: [SBX] / [ BETA ] / [ PROD ]
TEST TYPE: USABILITY TESTING</t>
        </is>
      </c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18" t="inlineStr">
        <is>
          <t>TEST CASE ID</t>
        </is>
      </c>
      <c r="B41" s="18" t="inlineStr">
        <is>
          <t>USERABILITY CRITERIA</t>
        </is>
      </c>
      <c r="C41" s="18" t="inlineStr">
        <is>
          <t>USER TEST FEEDBACK</t>
        </is>
      </c>
      <c r="D41" s="48" t="n"/>
      <c r="E41" s="48" t="n"/>
      <c r="F41" s="49" t="n"/>
      <c r="G41" s="49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51" t="inlineStr">
        <is>
          <t>UT01</t>
        </is>
      </c>
      <c r="B42" s="51" t="inlineStr">
        <is>
          <t>Ease of use</t>
        </is>
      </c>
      <c r="C42" s="51" t="inlineStr">
        <is>
          <t>Positive feedback from HR team</t>
        </is>
      </c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5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 ht="48.75" customHeight="1" s="52">
      <c r="A51" s="16" t="inlineStr">
        <is>
          <t>TEST ENVIRONMENT: [SBX] / [ BETA ] / [ PROD ]
TEST TYPE: COMPATIBILITY TESTING</t>
        </is>
      </c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18" t="inlineStr">
        <is>
          <t>TEST CASE ID</t>
        </is>
      </c>
      <c r="B52" s="18" t="inlineStr">
        <is>
          <t>PLATFORM TESTED</t>
        </is>
      </c>
      <c r="C52" s="18" t="inlineStr">
        <is>
          <t>COMPATIBILITY ISSUES</t>
        </is>
      </c>
      <c r="D52" s="48" t="n"/>
      <c r="E52" s="48" t="n"/>
      <c r="F52" s="49" t="n"/>
      <c r="G52" s="49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51" t="inlineStr">
        <is>
          <t>CT01</t>
        </is>
      </c>
      <c r="B53" s="51" t="inlineStr">
        <is>
          <t>Windows, macOS</t>
        </is>
      </c>
      <c r="C53" s="51" t="inlineStr">
        <is>
          <t>None</t>
        </is>
      </c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8">
    <mergeCell ref="A40:G40"/>
    <mergeCell ref="A6:G6"/>
    <mergeCell ref="A26:G26"/>
    <mergeCell ref="F1:G1"/>
    <mergeCell ref="E1:E4"/>
    <mergeCell ref="A51:G51"/>
    <mergeCell ref="N1:N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2026-07-01T09:48:36Z</dcterms:created>
  <dcterms:modified xsi:type="dcterms:W3CDTF">2026-07-01T09:48:36Z</dcterms:modified>
</cp:coreProperties>
</file>